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rancisco\Downloads\"/>
    </mc:Choice>
  </mc:AlternateContent>
  <xr:revisionPtr revIDLastSave="0" documentId="11_DAE6163307E39A8088B357D230210DDEFEFED60B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1 - Planta" sheetId="1" r:id="rId1"/>
    <sheet name="2 - Guia" sheetId="2" r:id="rId2"/>
    <sheet name="3 - Orçamento" sheetId="3" r:id="rId3"/>
  </sheets>
  <definedNames>
    <definedName name="AREACOZINHA">'1 - Planta'!$F$16</definedName>
    <definedName name="AREAQUARTO">'1 - Planta'!$S$7</definedName>
    <definedName name="AREASALAESTAR">'1 - Planta'!$P$16</definedName>
    <definedName name="AREASUITEMASTER">'1 - Planta'!$F$6</definedName>
    <definedName name="AREAWC">'1 - Planta'!$L$6</definedName>
    <definedName name="PERIMCOSINHA">'1 - Planta'!$F$17</definedName>
    <definedName name="PERIMETROSALA">'1 - Planta'!$P$17</definedName>
    <definedName name="PERIMQUARTO">'1 - Planta'!$S$8</definedName>
    <definedName name="PERIMWC">'1 - Planta'!$L$7</definedName>
    <definedName name="PSUITEMASTER">'1 - Planta'!$F$7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20" i="1" l="1"/>
  <c r="P17" i="1" s="1"/>
  <c r="F20" i="1"/>
  <c r="P16" i="1"/>
  <c r="F24" i="3" s="1"/>
  <c r="H24" i="3" s="1"/>
  <c r="W15" i="1"/>
  <c r="B15" i="1"/>
  <c r="F17" i="1" s="1"/>
  <c r="F31" i="3" s="1"/>
  <c r="H31" i="3" s="1"/>
  <c r="N9" i="1"/>
  <c r="K9" i="1"/>
  <c r="J9" i="1"/>
  <c r="W7" i="1"/>
  <c r="F7" i="1"/>
  <c r="E8" i="2" s="1"/>
  <c r="F8" i="2" s="1"/>
  <c r="N6" i="1"/>
  <c r="O7" i="1" s="1"/>
  <c r="K6" i="1"/>
  <c r="L6" i="1" s="1"/>
  <c r="F6" i="1"/>
  <c r="B6" i="1"/>
  <c r="Q2" i="1"/>
  <c r="S8" i="1" s="1"/>
  <c r="N2" i="1"/>
  <c r="L2" i="1"/>
  <c r="F2" i="1"/>
  <c r="G32" i="3"/>
  <c r="G31" i="3"/>
  <c r="G30" i="3"/>
  <c r="G27" i="3"/>
  <c r="F27" i="3"/>
  <c r="H27" i="3" s="1"/>
  <c r="G26" i="3"/>
  <c r="G25" i="3"/>
  <c r="G24" i="3"/>
  <c r="G21" i="3"/>
  <c r="G20" i="3"/>
  <c r="G19" i="3"/>
  <c r="G18" i="3"/>
  <c r="G15" i="3"/>
  <c r="G14" i="3"/>
  <c r="G13" i="3"/>
  <c r="G12" i="3"/>
  <c r="G9" i="3"/>
  <c r="G8" i="3"/>
  <c r="G7" i="3"/>
  <c r="G6" i="3"/>
  <c r="F15" i="3" l="1"/>
  <c r="H15" i="3" s="1"/>
  <c r="F14" i="3"/>
  <c r="F12" i="3"/>
  <c r="E5" i="2"/>
  <c r="F5" i="2" s="1"/>
  <c r="E3" i="2"/>
  <c r="F3" i="2" s="1"/>
  <c r="F20" i="3"/>
  <c r="H20" i="3" s="1"/>
  <c r="F19" i="3"/>
  <c r="H19" i="3" s="1"/>
  <c r="E4" i="2"/>
  <c r="F4" i="2" s="1"/>
  <c r="E2" i="2"/>
  <c r="F2" i="2" s="1"/>
  <c r="F26" i="3"/>
  <c r="H26" i="3" s="1"/>
  <c r="F25" i="3"/>
  <c r="H25" i="3" s="1"/>
  <c r="H28" i="3" s="1"/>
  <c r="F7" i="3"/>
  <c r="O6" i="1"/>
  <c r="F16" i="1"/>
  <c r="F6" i="3"/>
  <c r="L7" i="1"/>
  <c r="F13" i="3" s="1"/>
  <c r="F8" i="3"/>
  <c r="S7" i="1"/>
  <c r="E7" i="2"/>
  <c r="F7" i="2" s="1"/>
  <c r="F9" i="3"/>
  <c r="H14" i="3" l="1"/>
  <c r="F44" i="3"/>
  <c r="H44" i="3" s="1"/>
  <c r="F21" i="3"/>
  <c r="H21" i="3" s="1"/>
  <c r="F18" i="3"/>
  <c r="H18" i="3" s="1"/>
  <c r="H22" i="3" s="1"/>
  <c r="F38" i="3"/>
  <c r="H38" i="3" s="1"/>
  <c r="H6" i="3"/>
  <c r="F32" i="3"/>
  <c r="H32" i="3" s="1"/>
  <c r="F30" i="3"/>
  <c r="H30" i="3" s="1"/>
  <c r="F41" i="3"/>
  <c r="H41" i="3" s="1"/>
  <c r="H9" i="3"/>
  <c r="H8" i="3"/>
  <c r="F40" i="3"/>
  <c r="H40" i="3" s="1"/>
  <c r="E6" i="2"/>
  <c r="F6" i="2" s="1"/>
  <c r="H13" i="3"/>
  <c r="F43" i="3"/>
  <c r="H43" i="3" s="1"/>
  <c r="H12" i="3"/>
  <c r="H16" i="3" s="1"/>
  <c r="H7" i="3"/>
  <c r="F39" i="3"/>
  <c r="H39" i="3" s="1"/>
  <c r="H33" i="3" l="1"/>
  <c r="H10" i="3"/>
  <c r="F42" i="3"/>
  <c r="H42" i="3" s="1"/>
  <c r="H45" i="3" s="1"/>
  <c r="H34" i="3" l="1"/>
</calcChain>
</file>

<file path=xl/sharedStrings.xml><?xml version="1.0" encoding="utf-8"?>
<sst xmlns="http://schemas.openxmlformats.org/spreadsheetml/2006/main" count="151" uniqueCount="77">
  <si>
    <t>J</t>
  </si>
  <si>
    <t>SUÍTE MASTER</t>
  </si>
  <si>
    <t>WC Suíte</t>
  </si>
  <si>
    <t>WC Soc.</t>
  </si>
  <si>
    <t>LEGENDA:</t>
  </si>
  <si>
    <t>Área:</t>
  </si>
  <si>
    <t>QUARTO 2</t>
  </si>
  <si>
    <t>P = Porta</t>
  </si>
  <si>
    <t>P</t>
  </si>
  <si>
    <t>J = Janela</t>
  </si>
  <si>
    <t>Pé-direito: 2,80m</t>
  </si>
  <si>
    <t>Escala: 1 célula = 0,5m</t>
  </si>
  <si>
    <t>COZINHA</t>
  </si>
  <si>
    <t>SALA DE ESTAR</t>
  </si>
  <si>
    <t>Item / Material</t>
  </si>
  <si>
    <t>Aplicação</t>
  </si>
  <si>
    <t>Regra de Rendimento / Observação do Fornecedor</t>
  </si>
  <si>
    <t>Preço Unitário</t>
  </si>
  <si>
    <t>Qtd a Comprar (Fórmula)</t>
  </si>
  <si>
    <t>Custo Total</t>
  </si>
  <si>
    <t>Piso Porcelanato 50x50</t>
  </si>
  <si>
    <t>Salas, Corredor e Quartos</t>
  </si>
  <si>
    <t>1 Caixa cobre 2,5 m². Adicionar 10% de margem para cortes. Apenas venda de caixa fechada.</t>
  </si>
  <si>
    <t>Piso Cerâmico</t>
  </si>
  <si>
    <t>Cozinha e Banheiros</t>
  </si>
  <si>
    <t>1 Caixa cobre 2,0 m². Adicionar 15% de margem para quebras. Apenas venda de caixa fechada.</t>
  </si>
  <si>
    <t>Tinta Acrílica Premium</t>
  </si>
  <si>
    <t>Paredes (Geral)</t>
  </si>
  <si>
    <t>1 Lata (18L) pinta 100 m² (já contabilizando as 2 demãos necessárias). Apenas venda de lata inteira.</t>
  </si>
  <si>
    <t>Tinta Antimofo</t>
  </si>
  <si>
    <t>Tetos (Banheiros)</t>
  </si>
  <si>
    <t>1 Galão (3,6L) pinta 20 m². Apenas venda de galão inteiro.</t>
  </si>
  <si>
    <t>Argamassa (Cimento Cola)</t>
  </si>
  <si>
    <t>Todos os Pisos</t>
  </si>
  <si>
    <t>1 Saco (20kg) é suficiente para assentar 4 m² de piso.</t>
  </si>
  <si>
    <t>Rejunte</t>
  </si>
  <si>
    <t>1 Pacote (1kg) rende 3 m² de piso finalizado.</t>
  </si>
  <si>
    <t>Rodapé em PVC/Madeira</t>
  </si>
  <si>
    <t>Salas e Quartos</t>
  </si>
  <si>
    <t>Vendido em barras de 2,5 metros lineares. Adicionar 10% para os cantos e cortes.</t>
  </si>
  <si>
    <t>DICA DO PROFESSOR ALESSANDRO:</t>
  </si>
  <si>
    <t>Lembrem-se da aula: Use a função =ARRED.PARA.CIMA() na coluna E para garantir que o Excel compre caixas e latas inteiras!</t>
  </si>
  <si>
    <t>ORÇAMENTO DETALHADO POR CÔMODO</t>
  </si>
  <si>
    <t>Item</t>
  </si>
  <si>
    <t>Ambiente</t>
  </si>
  <si>
    <t>Descrição do Material</t>
  </si>
  <si>
    <t>Unid.</t>
  </si>
  <si>
    <t>Quantidade</t>
  </si>
  <si>
    <t>Valor Unitário</t>
  </si>
  <si>
    <t>Subtotal</t>
  </si>
  <si>
    <t>1. SUÍTE MASTER</t>
  </si>
  <si>
    <t>cx</t>
  </si>
  <si>
    <t>Rodapé em Madeira</t>
  </si>
  <si>
    <t>br</t>
  </si>
  <si>
    <t>lt</t>
  </si>
  <si>
    <t>sc</t>
  </si>
  <si>
    <t>CUSTO TOTAL - SUÍTE MASTER:</t>
  </si>
  <si>
    <t>2. WC SUÍTE E WC SOCIAL</t>
  </si>
  <si>
    <t>WC SUÍTE E WC SOCIAL</t>
  </si>
  <si>
    <t>Revestimento de Parede</t>
  </si>
  <si>
    <t>Tinta Antimofo (Teto)</t>
  </si>
  <si>
    <t>gl</t>
  </si>
  <si>
    <t>CUSTO TOTAL - WC SUÍTE E WC SOCIAL:</t>
  </si>
  <si>
    <t>3. QUARTO 2</t>
  </si>
  <si>
    <t>QUARTO 2 E QUARTO 3</t>
  </si>
  <si>
    <t>QUARTO 2 E QUARTO 4</t>
  </si>
  <si>
    <t>CUSTO TOTAL - QUARTO 2 E QUARTO 3:</t>
  </si>
  <si>
    <t>4. SALA DE ESTAR / JANTAR</t>
  </si>
  <si>
    <t>SALA DE ESTAR / JANTAR</t>
  </si>
  <si>
    <t>CUSTO TOTAL - SALA DE ESTAR / JANTAR:</t>
  </si>
  <si>
    <t>5. COZINHA</t>
  </si>
  <si>
    <t>CUSTO TOTAL - COZINHA:</t>
  </si>
  <si>
    <t>CUSTO TOTAL DOS AMBIENTES:</t>
  </si>
  <si>
    <t>6. SUBTOTAL POR ITEM</t>
  </si>
  <si>
    <t>ITENS</t>
  </si>
  <si>
    <t xml:space="preserve">TOTAL: </t>
  </si>
  <si>
    <t>OBS: A DIFERENÇA ESTÁ NAS LATAS PORQUE FOI ARREDONDADA PARA CIMA NO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</si>
</sst>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\ "/>
    <numFmt numFmtId="165" formatCode="&quot;&lt;-     &quot;0.00&quot; m   -&gt;&quot;"/>
    <numFmt numFmtId="166" formatCode="0\m"/>
    <numFmt numFmtId="167" formatCode="0&quot;m²&quot;"/>
    <numFmt numFmtId="168" formatCode="0.00&quot;m²&quot;"/>
    <numFmt numFmtId="169" formatCode="0.0&quot;m²&quot;"/>
    <numFmt numFmtId="170" formatCode="&quot;R$ &quot;#,##0.00"/>
    <numFmt numFmtId="171" formatCode="0.000"/>
  </numFmts>
  <fonts count="23" x14ac:knownFonts="1">
    <font>
      <sz val="11"/>
      <color theme="1"/>
      <name val="Calibri"/>
      <family val="2"/>
      <charset val="1"/>
    </font>
    <font>
      <sz val="8"/>
      <color theme="0" tint="-0.34998626667073579"/>
      <name val="Calibri"/>
      <family val="2"/>
      <charset val="1"/>
    </font>
    <font>
      <b/>
      <sz val="11"/>
      <color rgb="FF2980B9"/>
      <name val="Calibri"/>
      <family val="2"/>
      <charset val="1"/>
    </font>
    <font>
      <sz val="11"/>
      <color rgb="FF7F8C8D"/>
      <name val="Calibri"/>
      <family val="2"/>
      <charset val="1"/>
    </font>
    <font>
      <sz val="9"/>
      <color theme="0" tint="-0.34998626667073579"/>
      <name val="Calibri"/>
      <family val="2"/>
      <charset val="1"/>
    </font>
    <font>
      <sz val="11"/>
      <color theme="0" tint="-0.34998626667073579"/>
      <name val="Calibri"/>
      <family val="2"/>
      <charset val="1"/>
    </font>
    <font>
      <sz val="9"/>
      <color theme="1"/>
      <name val="Calibri"/>
      <family val="2"/>
      <charset val="1"/>
    </font>
    <font>
      <b/>
      <sz val="11"/>
      <color rgb="FF2C3E5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8"/>
      <color theme="1"/>
      <name val="Calibri"/>
      <family val="2"/>
      <charset val="1"/>
    </font>
    <font>
      <b/>
      <sz val="6"/>
      <color theme="1"/>
      <name val="Calibri"/>
      <family val="2"/>
      <charset val="1"/>
    </font>
    <font>
      <b/>
      <sz val="11"/>
      <color rgb="FFE74C3C"/>
      <name val="Calibri"/>
      <family val="2"/>
      <charset val="1"/>
    </font>
    <font>
      <b/>
      <sz val="8"/>
      <color theme="0" tint="-0.34998626667073579"/>
      <name val="Calibri"/>
      <family val="2"/>
      <charset val="1"/>
    </font>
    <font>
      <sz val="9"/>
      <color rgb="FF7F8C8D"/>
      <name val="Calibri"/>
      <family val="2"/>
      <charset val="1"/>
    </font>
    <font>
      <sz val="8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C0392B"/>
      <name val="Calibri"/>
      <family val="2"/>
      <charset val="1"/>
    </font>
    <font>
      <b/>
      <sz val="12"/>
      <color rgb="FF2980B9"/>
      <name val="Calibri"/>
      <family val="2"/>
      <charset val="1"/>
    </font>
    <font>
      <b/>
      <sz val="16"/>
      <color rgb="FFFFFFFF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20"/>
      <color theme="1"/>
      <name val="Calibri"/>
      <family val="2"/>
      <charset val="1"/>
    </font>
    <font>
      <b/>
      <i/>
      <sz val="11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8F9F9"/>
        <bgColor rgb="FFFFFFFF"/>
      </patternFill>
    </fill>
    <fill>
      <patternFill patternType="solid">
        <fgColor rgb="FFD6EAF8"/>
        <bgColor rgb="FFEAEDED"/>
      </patternFill>
    </fill>
    <fill>
      <patternFill patternType="solid">
        <fgColor rgb="FFFFFEE0"/>
        <bgColor rgb="FFF8F9F9"/>
      </patternFill>
    </fill>
    <fill>
      <patternFill patternType="solid">
        <fgColor rgb="FF2C3E50"/>
        <bgColor rgb="FF34495E"/>
      </patternFill>
    </fill>
    <fill>
      <patternFill patternType="solid">
        <fgColor rgb="FF34495E"/>
        <bgColor rgb="FF2C3E50"/>
      </patternFill>
    </fill>
    <fill>
      <patternFill patternType="solid">
        <fgColor rgb="FFD5DBDB"/>
        <bgColor rgb="FFD9D9D9"/>
      </patternFill>
    </fill>
    <fill>
      <patternFill patternType="solid">
        <fgColor rgb="FFEAEDED"/>
        <bgColor rgb="FFD6EAF8"/>
      </patternFill>
    </fill>
    <fill>
      <patternFill patternType="solid">
        <fgColor rgb="FF27AE60"/>
        <bgColor rgb="FF008080"/>
      </patternFill>
    </fill>
    <fill>
      <patternFill patternType="solid">
        <fgColor theme="0"/>
        <bgColor rgb="FFF8F9F9"/>
      </patternFill>
    </fill>
    <fill>
      <patternFill patternType="solid">
        <fgColor theme="0" tint="-0.14999847407452621"/>
        <bgColor rgb="FFD5DBDB"/>
      </patternFill>
    </fill>
  </fills>
  <borders count="48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double">
        <color auto="1"/>
      </top>
      <bottom style="hair">
        <color auto="1"/>
      </bottom>
      <diagonal/>
    </border>
    <border>
      <left style="dotted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tted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tted">
        <color auto="1"/>
      </left>
      <right style="double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uble">
        <color auto="1"/>
      </bottom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uble">
        <color auto="1"/>
      </right>
      <top/>
      <bottom style="dotted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dotted">
        <color auto="1"/>
      </left>
      <right style="double">
        <color auto="1"/>
      </right>
      <top/>
      <bottom style="double">
        <color auto="1"/>
      </bottom>
      <diagonal/>
    </border>
    <border>
      <left style="dashed">
        <color auto="1"/>
      </left>
      <right/>
      <top style="double">
        <color auto="1"/>
      </top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double">
        <color auto="1"/>
      </right>
      <top/>
      <bottom/>
      <diagonal/>
    </border>
    <border>
      <left style="double">
        <color auto="1"/>
      </left>
      <right style="dashed">
        <color auto="1"/>
      </right>
      <top/>
      <bottom style="dotted">
        <color auto="1"/>
      </bottom>
      <diagonal/>
    </border>
    <border>
      <left style="dashed">
        <color auto="1"/>
      </left>
      <right style="double">
        <color auto="1"/>
      </right>
      <top/>
      <bottom style="dotted">
        <color auto="1"/>
      </bottom>
      <diagonal/>
    </border>
    <border>
      <left style="double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ouble">
        <color auto="1"/>
      </right>
      <top/>
      <bottom style="dashed">
        <color auto="1"/>
      </bottom>
      <diagonal/>
    </border>
    <border>
      <left style="dashed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8">
    <xf numFmtId="0" fontId="0" fillId="0" borderId="0" xfId="0"/>
    <xf numFmtId="167" fontId="9" fillId="4" borderId="3" xfId="0" applyNumberFormat="1" applyFont="1" applyFill="1" applyBorder="1" applyAlignment="1">
      <alignment horizontal="center"/>
    </xf>
    <xf numFmtId="166" fontId="4" fillId="2" borderId="5" xfId="0" applyNumberFormat="1" applyFont="1" applyFill="1" applyBorder="1" applyAlignment="1">
      <alignment horizontal="center" vertical="center"/>
    </xf>
    <xf numFmtId="165" fontId="3" fillId="2" borderId="4" xfId="0" applyNumberFormat="1" applyFont="1" applyFill="1" applyBorder="1" applyAlignment="1">
      <alignment horizontal="left" vertical="center" textRotation="90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11" borderId="47" xfId="0" applyFill="1" applyBorder="1" applyAlignment="1">
      <alignment horizontal="right"/>
    </xf>
    <xf numFmtId="0" fontId="21" fillId="0" borderId="39" xfId="0" applyFont="1" applyBorder="1" applyAlignment="1">
      <alignment horizontal="center" vertical="center" textRotation="90"/>
    </xf>
    <xf numFmtId="0" fontId="19" fillId="7" borderId="39" xfId="0" applyFont="1" applyFill="1" applyBorder="1"/>
    <xf numFmtId="0" fontId="8" fillId="10" borderId="0" xfId="0" applyFont="1" applyFill="1" applyAlignment="1">
      <alignment horizontal="center"/>
    </xf>
    <xf numFmtId="0" fontId="20" fillId="0" borderId="0" xfId="0" applyFont="1" applyAlignment="1">
      <alignment horizontal="right"/>
    </xf>
    <xf numFmtId="0" fontId="19" fillId="7" borderId="38" xfId="0" applyFont="1" applyFill="1" applyBorder="1"/>
    <xf numFmtId="0" fontId="8" fillId="8" borderId="36" xfId="0" applyFont="1" applyFill="1" applyBorder="1" applyAlignment="1">
      <alignment horizontal="right"/>
    </xf>
    <xf numFmtId="0" fontId="19" fillId="7" borderId="33" xfId="0" applyFont="1" applyFill="1" applyBorder="1"/>
    <xf numFmtId="0" fontId="18" fillId="5" borderId="0" xfId="0" applyFont="1" applyFill="1" applyAlignment="1">
      <alignment horizontal="center" vertical="center"/>
    </xf>
    <xf numFmtId="2" fontId="1" fillId="0" borderId="0" xfId="0" applyNumberFormat="1" applyFont="1"/>
    <xf numFmtId="0" fontId="0" fillId="2" borderId="1" xfId="0" applyFill="1" applyBorder="1"/>
    <xf numFmtId="0" fontId="0" fillId="2" borderId="2" xfId="0" applyFill="1" applyBorder="1"/>
    <xf numFmtId="0" fontId="2" fillId="3" borderId="3" xfId="0" applyFont="1" applyFill="1" applyBorder="1" applyAlignment="1">
      <alignment horizontal="center"/>
    </xf>
    <xf numFmtId="0" fontId="0" fillId="2" borderId="6" xfId="0" applyFill="1" applyBorder="1"/>
    <xf numFmtId="165" fontId="5" fillId="2" borderId="2" xfId="0" applyNumberFormat="1" applyFont="1" applyFill="1" applyBorder="1" applyAlignment="1">
      <alignment horizontal="right" textRotation="90"/>
    </xf>
    <xf numFmtId="2" fontId="6" fillId="2" borderId="7" xfId="0" applyNumberFormat="1" applyFont="1" applyFill="1" applyBorder="1"/>
    <xf numFmtId="2" fontId="6" fillId="0" borderId="0" xfId="0" applyNumberFormat="1" applyFont="1"/>
    <xf numFmtId="0" fontId="0" fillId="2" borderId="8" xfId="0" applyFill="1" applyBorder="1"/>
    <xf numFmtId="0" fontId="0" fillId="2" borderId="0" xfId="0" applyFill="1"/>
    <xf numFmtId="0" fontId="7" fillId="2" borderId="0" xfId="0" applyFont="1" applyFill="1" applyAlignment="1">
      <alignment horizontal="center"/>
    </xf>
    <xf numFmtId="0" fontId="0" fillId="2" borderId="9" xfId="0" applyFill="1" applyBorder="1"/>
    <xf numFmtId="165" fontId="5" fillId="2" borderId="0" xfId="0" applyNumberFormat="1" applyFont="1" applyFill="1" applyAlignment="1">
      <alignment horizontal="right" textRotation="90"/>
    </xf>
    <xf numFmtId="2" fontId="6" fillId="2" borderId="10" xfId="0" applyNumberFormat="1" applyFont="1" applyFill="1" applyBorder="1"/>
    <xf numFmtId="0" fontId="8" fillId="0" borderId="0" xfId="0" applyFont="1"/>
    <xf numFmtId="2" fontId="1" fillId="0" borderId="0" xfId="0" applyNumberFormat="1" applyFont="1" applyAlignment="1">
      <alignment horizontal="right" textRotation="90"/>
    </xf>
    <xf numFmtId="0" fontId="0" fillId="2" borderId="0" xfId="0" applyFill="1" applyAlignment="1">
      <alignment horizontal="right"/>
    </xf>
    <xf numFmtId="168" fontId="10" fillId="4" borderId="11" xfId="0" applyNumberFormat="1" applyFont="1" applyFill="1" applyBorder="1"/>
    <xf numFmtId="167" fontId="8" fillId="0" borderId="12" xfId="0" applyNumberFormat="1" applyFont="1" applyBorder="1"/>
    <xf numFmtId="168" fontId="10" fillId="4" borderId="3" xfId="0" applyNumberFormat="1" applyFont="1" applyFill="1" applyBorder="1"/>
    <xf numFmtId="0" fontId="11" fillId="0" borderId="0" xfId="0" applyFont="1" applyAlignment="1">
      <alignment horizontal="center" vertical="center"/>
    </xf>
    <xf numFmtId="166" fontId="9" fillId="4" borderId="11" xfId="0" applyNumberFormat="1" applyFont="1" applyFill="1" applyBorder="1"/>
    <xf numFmtId="2" fontId="1" fillId="2" borderId="0" xfId="0" applyNumberFormat="1" applyFont="1" applyFill="1" applyAlignment="1">
      <alignment horizontal="right" textRotation="90"/>
    </xf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11" fillId="2" borderId="0" xfId="0" applyFont="1" applyFill="1" applyAlignment="1">
      <alignment horizontal="center" vertical="center"/>
    </xf>
    <xf numFmtId="0" fontId="0" fillId="2" borderId="16" xfId="0" applyFill="1" applyBorder="1"/>
    <xf numFmtId="2" fontId="13" fillId="2" borderId="20" xfId="0" applyNumberFormat="1" applyFont="1" applyFill="1" applyBorder="1"/>
    <xf numFmtId="0" fontId="0" fillId="2" borderId="21" xfId="0" applyFill="1" applyBorder="1"/>
    <xf numFmtId="2" fontId="6" fillId="2" borderId="22" xfId="0" applyNumberFormat="1" applyFont="1" applyFill="1" applyBorder="1"/>
    <xf numFmtId="0" fontId="0" fillId="2" borderId="23" xfId="0" applyFill="1" applyBorder="1"/>
    <xf numFmtId="11" fontId="0" fillId="0" borderId="0" xfId="0" applyNumberFormat="1"/>
    <xf numFmtId="0" fontId="11" fillId="2" borderId="24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0" fillId="2" borderId="25" xfId="0" applyFill="1" applyBorder="1"/>
    <xf numFmtId="2" fontId="14" fillId="0" borderId="0" xfId="0" applyNumberFormat="1" applyFont="1"/>
    <xf numFmtId="165" fontId="3" fillId="2" borderId="27" xfId="0" applyNumberFormat="1" applyFont="1" applyFill="1" applyBorder="1"/>
    <xf numFmtId="165" fontId="3" fillId="2" borderId="28" xfId="0" applyNumberFormat="1" applyFont="1" applyFill="1" applyBorder="1"/>
    <xf numFmtId="165" fontId="3" fillId="2" borderId="29" xfId="0" applyNumberFormat="1" applyFont="1" applyFill="1" applyBorder="1"/>
    <xf numFmtId="165" fontId="3" fillId="2" borderId="30" xfId="0" applyNumberFormat="1" applyFont="1" applyFill="1" applyBorder="1"/>
    <xf numFmtId="0" fontId="0" fillId="2" borderId="31" xfId="0" applyFill="1" applyBorder="1"/>
    <xf numFmtId="0" fontId="15" fillId="5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170" fontId="0" fillId="0" borderId="3" xfId="0" applyNumberFormat="1" applyBorder="1" applyAlignment="1">
      <alignment vertical="center"/>
    </xf>
    <xf numFmtId="0" fontId="0" fillId="4" borderId="3" xfId="0" applyFill="1" applyBorder="1" applyAlignment="1">
      <alignment horizontal="center" vertical="center"/>
    </xf>
    <xf numFmtId="1" fontId="0" fillId="0" borderId="0" xfId="0" applyNumberFormat="1"/>
    <xf numFmtId="0" fontId="17" fillId="0" borderId="0" xfId="0" applyFont="1"/>
    <xf numFmtId="0" fontId="15" fillId="6" borderId="32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/>
    </xf>
    <xf numFmtId="0" fontId="0" fillId="4" borderId="3" xfId="0" applyFill="1" applyBorder="1" applyAlignment="1">
      <alignment horizontal="center"/>
    </xf>
    <xf numFmtId="170" fontId="0" fillId="0" borderId="3" xfId="0" applyNumberFormat="1" applyBorder="1"/>
    <xf numFmtId="170" fontId="0" fillId="0" borderId="35" xfId="0" applyNumberFormat="1" applyBorder="1"/>
    <xf numFmtId="2" fontId="0" fillId="4" borderId="3" xfId="0" applyNumberFormat="1" applyFill="1" applyBorder="1" applyAlignment="1">
      <alignment horizontal="center"/>
    </xf>
    <xf numFmtId="170" fontId="8" fillId="8" borderId="37" xfId="0" applyNumberFormat="1" applyFont="1" applyFill="1" applyBorder="1"/>
    <xf numFmtId="170" fontId="15" fillId="9" borderId="39" xfId="0" applyNumberFormat="1" applyFont="1" applyFill="1" applyBorder="1"/>
    <xf numFmtId="0" fontId="8" fillId="10" borderId="0" xfId="0" applyFont="1" applyFill="1" applyAlignment="1">
      <alignment horizontal="center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horizontal="center"/>
    </xf>
    <xf numFmtId="1" fontId="0" fillId="4" borderId="41" xfId="0" applyNumberFormat="1" applyFill="1" applyBorder="1" applyAlignment="1">
      <alignment horizontal="center"/>
    </xf>
    <xf numFmtId="170" fontId="0" fillId="0" borderId="41" xfId="0" applyNumberFormat="1" applyBorder="1"/>
    <xf numFmtId="170" fontId="0" fillId="0" borderId="42" xfId="0" applyNumberFormat="1" applyBorder="1"/>
    <xf numFmtId="0" fontId="0" fillId="0" borderId="43" xfId="0" applyBorder="1" applyAlignment="1">
      <alignment vertical="center"/>
    </xf>
    <xf numFmtId="1" fontId="0" fillId="4" borderId="3" xfId="0" applyNumberFormat="1" applyFill="1" applyBorder="1" applyAlignment="1">
      <alignment horizontal="center"/>
    </xf>
    <xf numFmtId="171" fontId="0" fillId="4" borderId="3" xfId="0" applyNumberFormat="1" applyFill="1" applyBorder="1" applyAlignment="1">
      <alignment horizontal="center"/>
    </xf>
    <xf numFmtId="0" fontId="0" fillId="0" borderId="44" xfId="0" applyBorder="1" applyAlignment="1">
      <alignment vertical="center"/>
    </xf>
    <xf numFmtId="0" fontId="0" fillId="0" borderId="45" xfId="0" applyBorder="1" applyAlignment="1">
      <alignment horizontal="center"/>
    </xf>
    <xf numFmtId="0" fontId="0" fillId="4" borderId="45" xfId="0" applyFill="1" applyBorder="1" applyAlignment="1">
      <alignment horizontal="center"/>
    </xf>
    <xf numFmtId="170" fontId="0" fillId="0" borderId="45" xfId="0" applyNumberFormat="1" applyBorder="1"/>
    <xf numFmtId="170" fontId="0" fillId="0" borderId="37" xfId="0" applyNumberFormat="1" applyBorder="1"/>
    <xf numFmtId="0" fontId="21" fillId="11" borderId="46" xfId="0" applyFont="1" applyFill="1" applyBorder="1" applyAlignment="1">
      <alignment horizontal="center" vertical="center" textRotation="90"/>
    </xf>
    <xf numFmtId="0" fontId="21" fillId="11" borderId="47" xfId="0" applyFont="1" applyFill="1" applyBorder="1" applyAlignment="1">
      <alignment horizontal="center" vertical="center" textRotation="90"/>
    </xf>
    <xf numFmtId="0" fontId="0" fillId="11" borderId="47" xfId="0" applyFill="1" applyBorder="1" applyAlignment="1">
      <alignment vertical="center"/>
    </xf>
    <xf numFmtId="0" fontId="0" fillId="11" borderId="47" xfId="0" applyFill="1" applyBorder="1" applyAlignment="1">
      <alignment horizontal="center"/>
    </xf>
    <xf numFmtId="170" fontId="20" fillId="11" borderId="39" xfId="0" applyNumberFormat="1" applyFont="1" applyFill="1" applyBorder="1"/>
    <xf numFmtId="0" fontId="21" fillId="0" borderId="0" xfId="0" applyFont="1" applyAlignment="1">
      <alignment horizontal="center" vertical="center" textRotation="90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70" fontId="0" fillId="0" borderId="0" xfId="0" applyNumberFormat="1"/>
    <xf numFmtId="4" fontId="0" fillId="0" borderId="0" xfId="0" applyNumberFormat="1"/>
    <xf numFmtId="0" fontId="22" fillId="0" borderId="0" xfId="0" applyFont="1"/>
    <xf numFmtId="166" fontId="9" fillId="4" borderId="3" xfId="0" applyNumberFormat="1" applyFont="1" applyFill="1" applyBorder="1" applyAlignment="1">
      <alignment horizontal="center"/>
    </xf>
    <xf numFmtId="169" fontId="9" fillId="4" borderId="3" xfId="0" applyNumberFormat="1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6" fontId="12" fillId="2" borderId="17" xfId="0" applyNumberFormat="1" applyFont="1" applyFill="1" applyBorder="1" applyAlignment="1">
      <alignment horizontal="center" vertical="center"/>
    </xf>
    <xf numFmtId="169" fontId="9" fillId="4" borderId="18" xfId="0" applyNumberFormat="1" applyFont="1" applyFill="1" applyBorder="1" applyAlignment="1">
      <alignment horizontal="center" vertical="center"/>
    </xf>
    <xf numFmtId="165" fontId="3" fillId="2" borderId="19" xfId="0" applyNumberFormat="1" applyFon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left" textRotation="90"/>
    </xf>
    <xf numFmtId="165" fontId="3" fillId="2" borderId="26" xfId="0" applyNumberFormat="1" applyFont="1" applyFill="1" applyBorder="1" applyAlignment="1">
      <alignment horizontal="center"/>
    </xf>
    <xf numFmtId="165" fontId="3" fillId="2" borderId="29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D9D9D9"/>
      <rgbColor rgb="FF7F8C8D"/>
      <rgbColor rgb="FF9999FF"/>
      <rgbColor rgb="FF993366"/>
      <rgbColor rgb="FFFFFEE0"/>
      <rgbColor rgb="FFD6EAF8"/>
      <rgbColor rgb="FF660066"/>
      <rgbColor rgb="FFFF8080"/>
      <rgbColor rgb="FF0066CC"/>
      <rgbColor rgb="FFD5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DED"/>
      <rgbColor rgb="FFF8F9F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74C3C"/>
      <rgbColor rgb="FF666699"/>
      <rgbColor rgb="FFA6A6A6"/>
      <rgbColor rgb="FF003366"/>
      <rgbColor rgb="FF27AE60"/>
      <rgbColor rgb="FF003300"/>
      <rgbColor rgb="FF333300"/>
      <rgbColor rgb="FFC0392B"/>
      <rgbColor rgb="FF993366"/>
      <rgbColor rgb="FF34495E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G31"/>
  <sheetViews>
    <sheetView showGridLines="0" topLeftCell="A5" zoomScale="160" zoomScaleNormal="160" workbookViewId="0">
      <selection activeCell="F6" sqref="F6"/>
    </sheetView>
  </sheetViews>
  <sheetFormatPr defaultColWidth="8.6640625" defaultRowHeight="15" customHeight="1" x14ac:dyDescent="0.3"/>
  <cols>
    <col min="1" max="11" width="3.6640625" customWidth="1"/>
    <col min="12" max="12" width="4.6640625" customWidth="1"/>
    <col min="13" max="14" width="3.6640625" customWidth="1"/>
    <col min="15" max="15" width="4.6640625" customWidth="1"/>
    <col min="16" max="29" width="3.6640625" customWidth="1"/>
  </cols>
  <sheetData>
    <row r="2" spans="2:33" ht="14.4" x14ac:dyDescent="0.3">
      <c r="F2" s="15">
        <f>COUNTBLANK(C8:J8)/2</f>
        <v>4</v>
      </c>
      <c r="L2" s="15">
        <f>COUNTBLANK(K11:M11)/2</f>
        <v>1.5</v>
      </c>
      <c r="N2" s="5">
        <f>COUNTBLANK(N11:P11)/2</f>
        <v>1.5</v>
      </c>
      <c r="O2" s="5"/>
      <c r="P2" s="5"/>
      <c r="Q2" s="4">
        <f>COUNTBLANK(Q10:V10)/2</f>
        <v>3</v>
      </c>
      <c r="R2" s="4"/>
      <c r="S2" s="4"/>
      <c r="T2" s="4"/>
      <c r="U2" s="4"/>
      <c r="V2" s="4"/>
    </row>
    <row r="3" spans="2:33" ht="7.5" customHeight="1" x14ac:dyDescent="0.3"/>
    <row r="4" spans="2:33" ht="18" customHeight="1" x14ac:dyDescent="0.3">
      <c r="C4" s="16"/>
      <c r="D4" s="17"/>
      <c r="E4" s="17"/>
      <c r="F4" s="18" t="s">
        <v>0</v>
      </c>
      <c r="G4" s="17"/>
      <c r="H4" s="17"/>
      <c r="I4" s="3"/>
      <c r="J4" s="2"/>
      <c r="K4" s="17"/>
      <c r="L4" s="18" t="s">
        <v>0</v>
      </c>
      <c r="M4" s="19"/>
      <c r="N4" s="17"/>
      <c r="O4" s="18" t="s">
        <v>0</v>
      </c>
      <c r="P4" s="19"/>
      <c r="Q4" s="17"/>
      <c r="R4" s="17"/>
      <c r="S4" s="17"/>
      <c r="T4" s="18" t="s">
        <v>0</v>
      </c>
      <c r="U4" s="20"/>
      <c r="V4" s="21"/>
      <c r="W4" s="22"/>
      <c r="X4" s="22"/>
      <c r="Y4" s="22"/>
    </row>
    <row r="5" spans="2:33" ht="18" customHeight="1" x14ac:dyDescent="0.3">
      <c r="C5" s="23"/>
      <c r="D5" s="24"/>
      <c r="E5" s="24"/>
      <c r="F5" s="25" t="s">
        <v>1</v>
      </c>
      <c r="G5" s="24"/>
      <c r="H5" s="24"/>
      <c r="I5" s="3"/>
      <c r="J5" s="2"/>
      <c r="K5" s="24"/>
      <c r="L5" s="25" t="s">
        <v>2</v>
      </c>
      <c r="M5" s="26"/>
      <c r="N5" s="24"/>
      <c r="O5" s="25" t="s">
        <v>3</v>
      </c>
      <c r="P5" s="26"/>
      <c r="Q5" s="24"/>
      <c r="R5" s="24"/>
      <c r="S5" s="24"/>
      <c r="T5" s="24"/>
      <c r="U5" s="27"/>
      <c r="V5" s="28"/>
      <c r="W5" s="22"/>
      <c r="X5" s="22"/>
      <c r="Y5" s="22"/>
      <c r="AA5" s="29" t="s">
        <v>4</v>
      </c>
    </row>
    <row r="6" spans="2:33" ht="18" customHeight="1" x14ac:dyDescent="0.3">
      <c r="B6" s="30">
        <f>COUNTBLANK(C4:C10)/2</f>
        <v>3.5</v>
      </c>
      <c r="C6" s="23"/>
      <c r="D6" s="24"/>
      <c r="E6" s="31" t="s">
        <v>5</v>
      </c>
      <c r="F6" s="1">
        <f>B6*F2</f>
        <v>14</v>
      </c>
      <c r="G6" s="1"/>
      <c r="H6" s="24"/>
      <c r="I6" s="3"/>
      <c r="J6" s="2"/>
      <c r="K6" s="30">
        <f>COUNTBLANK(M4:M8)/2</f>
        <v>2.5</v>
      </c>
      <c r="L6" s="32">
        <f>K6*L2</f>
        <v>3.75</v>
      </c>
      <c r="M6" s="33"/>
      <c r="N6" s="30">
        <f>COUNTBLANK(P4:P8)/2</f>
        <v>2.5</v>
      </c>
      <c r="O6" s="34">
        <f>N6*N2</f>
        <v>3.75</v>
      </c>
      <c r="P6" s="26"/>
      <c r="Q6" s="24"/>
      <c r="R6" s="24"/>
      <c r="S6" s="25" t="s">
        <v>6</v>
      </c>
      <c r="T6" s="24"/>
      <c r="U6" s="27"/>
      <c r="V6" s="28"/>
      <c r="W6" s="22"/>
      <c r="X6" s="22"/>
      <c r="Y6" s="22"/>
      <c r="AA6" s="35" t="s">
        <v>7</v>
      </c>
    </row>
    <row r="7" spans="2:33" ht="18" customHeight="1" x14ac:dyDescent="0.3">
      <c r="C7" s="23"/>
      <c r="D7" s="24"/>
      <c r="E7" s="24" t="s">
        <v>8</v>
      </c>
      <c r="F7" s="99">
        <f>(B6+F2)*2</f>
        <v>15</v>
      </c>
      <c r="G7" s="99"/>
      <c r="H7" s="24"/>
      <c r="I7" s="3"/>
      <c r="J7" s="2"/>
      <c r="K7" s="24"/>
      <c r="L7" s="36">
        <f>(K6+L2)*2</f>
        <v>8</v>
      </c>
      <c r="M7" s="33"/>
      <c r="N7" s="24"/>
      <c r="O7" s="36">
        <f>(N6+N2)*2</f>
        <v>8</v>
      </c>
      <c r="P7" s="26"/>
      <c r="Q7" s="24"/>
      <c r="R7" s="31" t="s">
        <v>5</v>
      </c>
      <c r="S7" s="100">
        <f>Q2*W7</f>
        <v>10.5</v>
      </c>
      <c r="T7" s="100"/>
      <c r="U7" s="37"/>
      <c r="V7" s="28"/>
      <c r="W7" s="30">
        <f>COUNTBLANK(X4:X10)/2</f>
        <v>3.5</v>
      </c>
      <c r="X7" s="22"/>
      <c r="Y7" s="22"/>
      <c r="AA7" s="18" t="s">
        <v>9</v>
      </c>
    </row>
    <row r="8" spans="2:33" ht="18" customHeight="1" x14ac:dyDescent="0.3">
      <c r="C8" s="38"/>
      <c r="D8" s="39"/>
      <c r="E8" s="39"/>
      <c r="F8" s="39"/>
      <c r="G8" s="39"/>
      <c r="H8" s="39"/>
      <c r="I8" s="3"/>
      <c r="J8" s="2"/>
      <c r="K8" s="40"/>
      <c r="L8" s="41" t="s">
        <v>8</v>
      </c>
      <c r="M8" s="42"/>
      <c r="N8" s="40"/>
      <c r="O8" s="41" t="s">
        <v>8</v>
      </c>
      <c r="P8" s="42"/>
      <c r="Q8" s="24"/>
      <c r="R8" s="24" t="s">
        <v>8</v>
      </c>
      <c r="S8" s="99">
        <f>(Q2+W7)*2</f>
        <v>13</v>
      </c>
      <c r="T8" s="99"/>
      <c r="U8" s="27"/>
      <c r="V8" s="28"/>
      <c r="W8" s="22"/>
      <c r="X8" s="22"/>
      <c r="Y8" s="22"/>
    </row>
    <row r="9" spans="2:33" ht="18" customHeight="1" x14ac:dyDescent="0.3">
      <c r="C9" s="101"/>
      <c r="D9" s="101"/>
      <c r="E9" s="101"/>
      <c r="F9" s="101"/>
      <c r="G9" s="101"/>
      <c r="H9" s="101"/>
      <c r="I9" s="24"/>
      <c r="J9" s="102">
        <f>COUNTBLANK(B9:B10)/2</f>
        <v>1</v>
      </c>
      <c r="K9" s="103">
        <f>L2*J9</f>
        <v>1.5</v>
      </c>
      <c r="L9" s="103"/>
      <c r="M9" s="103"/>
      <c r="N9" s="103">
        <f>N2*J9</f>
        <v>1.5</v>
      </c>
      <c r="O9" s="103"/>
      <c r="P9" s="103"/>
      <c r="Q9" s="104"/>
      <c r="R9" s="104"/>
      <c r="S9" s="104"/>
      <c r="T9" s="104"/>
      <c r="U9" s="104"/>
      <c r="V9" s="43"/>
      <c r="W9" s="22"/>
      <c r="X9" s="22"/>
      <c r="Y9" s="22"/>
      <c r="AA9" t="s">
        <v>10</v>
      </c>
    </row>
    <row r="10" spans="2:33" ht="18" customHeight="1" x14ac:dyDescent="0.3">
      <c r="C10" s="44"/>
      <c r="D10" s="40"/>
      <c r="E10" s="40"/>
      <c r="F10" s="40"/>
      <c r="G10" s="40"/>
      <c r="H10" s="40"/>
      <c r="I10" s="40"/>
      <c r="J10" s="102"/>
      <c r="K10" s="103"/>
      <c r="L10" s="103"/>
      <c r="M10" s="103"/>
      <c r="N10" s="103"/>
      <c r="O10" s="103"/>
      <c r="P10" s="103"/>
      <c r="Q10" s="40"/>
      <c r="R10" s="40"/>
      <c r="S10" s="40"/>
      <c r="T10" s="40"/>
      <c r="U10" s="40"/>
      <c r="V10" s="45"/>
      <c r="W10" s="22"/>
      <c r="X10" s="22"/>
      <c r="Y10" s="22"/>
      <c r="AA10" t="s">
        <v>11</v>
      </c>
    </row>
    <row r="11" spans="2:33" ht="18" customHeight="1" x14ac:dyDescent="0.3">
      <c r="C11" s="23"/>
      <c r="D11" s="24"/>
      <c r="E11" s="24"/>
      <c r="F11" s="24"/>
      <c r="G11" s="24"/>
      <c r="H11" s="24"/>
      <c r="I11" s="105"/>
      <c r="J11" s="46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6"/>
      <c r="W11" s="22"/>
      <c r="X11" s="22"/>
      <c r="Y11" s="22"/>
      <c r="AG11" s="47"/>
    </row>
    <row r="12" spans="2:33" ht="18" customHeight="1" x14ac:dyDescent="0.3">
      <c r="C12" s="23"/>
      <c r="D12" s="24"/>
      <c r="E12" s="24"/>
      <c r="F12" s="24"/>
      <c r="G12" s="24"/>
      <c r="H12" s="24"/>
      <c r="I12" s="105"/>
      <c r="J12" s="48"/>
      <c r="K12" s="49" t="s">
        <v>8</v>
      </c>
      <c r="L12" s="49"/>
      <c r="M12" s="24"/>
      <c r="N12" s="24"/>
      <c r="O12" s="24"/>
      <c r="P12" s="24"/>
      <c r="Q12" s="24"/>
      <c r="R12" s="24"/>
      <c r="S12" s="24"/>
      <c r="T12" s="24"/>
      <c r="U12" s="24"/>
      <c r="V12" s="26"/>
      <c r="W12" s="22"/>
      <c r="X12" s="22"/>
      <c r="Y12" s="22"/>
    </row>
    <row r="13" spans="2:33" ht="18" customHeight="1" x14ac:dyDescent="0.3">
      <c r="C13" s="23"/>
      <c r="D13" s="24"/>
      <c r="E13" s="24"/>
      <c r="F13" s="24"/>
      <c r="G13" s="24"/>
      <c r="H13" s="24"/>
      <c r="I13" s="105"/>
      <c r="J13" s="48"/>
      <c r="K13" s="49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6"/>
      <c r="W13" s="22"/>
      <c r="X13" s="22"/>
      <c r="Y13" s="22"/>
    </row>
    <row r="14" spans="2:33" ht="18" customHeight="1" x14ac:dyDescent="0.3">
      <c r="C14" s="23"/>
      <c r="D14" s="24"/>
      <c r="E14" s="24"/>
      <c r="F14" s="25" t="s">
        <v>12</v>
      </c>
      <c r="G14" s="24"/>
      <c r="H14" s="24"/>
      <c r="I14" s="105"/>
      <c r="J14" s="50"/>
      <c r="K14" s="24"/>
      <c r="L14" s="24"/>
      <c r="M14" s="24"/>
      <c r="N14" s="24"/>
      <c r="O14" s="24"/>
      <c r="P14" s="25" t="s">
        <v>13</v>
      </c>
      <c r="Q14" s="24"/>
      <c r="R14" s="24"/>
      <c r="S14" s="24"/>
      <c r="T14" s="24"/>
      <c r="U14" s="24"/>
      <c r="V14" s="26"/>
      <c r="W14" s="22"/>
      <c r="X14" s="22"/>
      <c r="Y14" s="22"/>
    </row>
    <row r="15" spans="2:33" ht="18" customHeight="1" x14ac:dyDescent="0.3">
      <c r="B15" s="30">
        <f>COUNTBLANK(J11:J19)/2</f>
        <v>4.5</v>
      </c>
      <c r="C15" s="18" t="s">
        <v>0</v>
      </c>
      <c r="D15" s="24"/>
      <c r="E15" s="24"/>
      <c r="F15" s="24"/>
      <c r="G15" s="24"/>
      <c r="H15" s="24"/>
      <c r="I15" s="105"/>
      <c r="J15" s="50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18" t="s">
        <v>0</v>
      </c>
      <c r="W15" s="30">
        <f>COUNTBLANK(K11:K19)/2</f>
        <v>4</v>
      </c>
      <c r="X15" s="22"/>
      <c r="Y15" s="51"/>
    </row>
    <row r="16" spans="2:33" ht="18" customHeight="1" x14ac:dyDescent="0.3">
      <c r="C16" s="23"/>
      <c r="D16" s="24"/>
      <c r="E16" s="31" t="s">
        <v>5</v>
      </c>
      <c r="F16" s="1">
        <f>B15*F20</f>
        <v>18</v>
      </c>
      <c r="G16" s="1"/>
      <c r="H16" s="24"/>
      <c r="I16" s="105"/>
      <c r="J16" s="50"/>
      <c r="K16" s="24"/>
      <c r="L16" s="24"/>
      <c r="M16" s="24"/>
      <c r="N16" s="24"/>
      <c r="O16" s="31" t="s">
        <v>5</v>
      </c>
      <c r="P16" s="1">
        <f>W15*Q20</f>
        <v>24</v>
      </c>
      <c r="Q16" s="1"/>
      <c r="R16" s="24"/>
      <c r="S16" s="24"/>
      <c r="T16" s="24"/>
      <c r="U16" s="24"/>
      <c r="V16" s="26"/>
      <c r="W16" s="22"/>
      <c r="X16" s="22"/>
      <c r="Y16" s="22"/>
    </row>
    <row r="17" spans="3:25" ht="18" customHeight="1" x14ac:dyDescent="0.3">
      <c r="C17" s="23"/>
      <c r="D17" s="24"/>
      <c r="E17" s="24" t="s">
        <v>8</v>
      </c>
      <c r="F17" s="99">
        <f>(F20+B15)*2</f>
        <v>17</v>
      </c>
      <c r="G17" s="99"/>
      <c r="H17" s="24"/>
      <c r="I17" s="105"/>
      <c r="J17" s="50"/>
      <c r="K17" s="24"/>
      <c r="L17" s="24"/>
      <c r="M17" s="24"/>
      <c r="N17" s="24"/>
      <c r="O17" s="24" t="s">
        <v>8</v>
      </c>
      <c r="P17" s="99">
        <f>(Q20+W15)*2</f>
        <v>20</v>
      </c>
      <c r="Q17" s="99"/>
      <c r="R17" s="24"/>
      <c r="S17" s="24"/>
      <c r="T17" s="24"/>
      <c r="U17" s="24"/>
      <c r="V17" s="26"/>
      <c r="W17" s="22"/>
      <c r="X17" s="22"/>
      <c r="Y17" s="22"/>
    </row>
    <row r="18" spans="3:25" ht="18" customHeight="1" x14ac:dyDescent="0.3">
      <c r="C18" s="106"/>
      <c r="D18" s="106"/>
      <c r="E18" s="106"/>
      <c r="F18" s="106"/>
      <c r="G18" s="106"/>
      <c r="H18" s="106"/>
      <c r="I18" s="106"/>
      <c r="J18" s="52"/>
      <c r="K18" s="53"/>
      <c r="L18" s="54"/>
      <c r="M18" s="54"/>
      <c r="N18" s="54"/>
      <c r="O18" s="107"/>
      <c r="P18" s="107"/>
      <c r="Q18" s="107"/>
      <c r="R18" s="107"/>
      <c r="S18" s="54"/>
      <c r="T18" s="54"/>
      <c r="U18" s="54"/>
      <c r="V18" s="55"/>
      <c r="W18" s="22"/>
      <c r="X18" s="22"/>
      <c r="Y18" s="22"/>
    </row>
    <row r="19" spans="3:25" ht="18" customHeight="1" x14ac:dyDescent="0.3">
      <c r="C19" s="44"/>
      <c r="D19" s="40"/>
      <c r="E19" s="40"/>
      <c r="F19" s="40"/>
      <c r="G19" s="40"/>
      <c r="H19" s="40"/>
      <c r="I19" s="40"/>
      <c r="J19" s="56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2"/>
      <c r="W19" s="22"/>
      <c r="X19" s="22"/>
      <c r="Y19" s="22"/>
    </row>
    <row r="20" spans="3:25" ht="18" customHeight="1" x14ac:dyDescent="0.3">
      <c r="F20" s="15">
        <f>COUNTBLANK(C19:J19)/2</f>
        <v>4</v>
      </c>
      <c r="P20" s="30"/>
      <c r="Q20" s="15">
        <f>COUNTBLANK(K19:V19)/2</f>
        <v>6</v>
      </c>
    </row>
    <row r="21" spans="3:25" ht="18" customHeight="1" x14ac:dyDescent="0.3"/>
    <row r="22" spans="3:25" ht="18" customHeight="1" x14ac:dyDescent="0.3"/>
    <row r="23" spans="3:25" ht="18" customHeight="1" x14ac:dyDescent="0.3"/>
    <row r="24" spans="3:25" ht="18" customHeight="1" x14ac:dyDescent="0.3"/>
    <row r="25" spans="3:25" ht="18" customHeight="1" x14ac:dyDescent="0.3"/>
    <row r="26" spans="3:25" ht="18" customHeight="1" x14ac:dyDescent="0.3"/>
    <row r="27" spans="3:25" ht="18" customHeight="1" x14ac:dyDescent="0.3"/>
    <row r="28" spans="3:25" ht="18" customHeight="1" x14ac:dyDescent="0.3"/>
    <row r="29" spans="3:25" ht="18" customHeight="1" x14ac:dyDescent="0.3"/>
    <row r="30" spans="3:25" ht="18" customHeight="1" x14ac:dyDescent="0.3"/>
    <row r="31" spans="3:25" ht="18" customHeight="1" x14ac:dyDescent="0.3"/>
  </sheetData>
  <mergeCells count="20">
    <mergeCell ref="C18:I18"/>
    <mergeCell ref="O18:R18"/>
    <mergeCell ref="I11:I17"/>
    <mergeCell ref="F16:G16"/>
    <mergeCell ref="P16:Q16"/>
    <mergeCell ref="F17:G17"/>
    <mergeCell ref="P17:Q17"/>
    <mergeCell ref="C9:H9"/>
    <mergeCell ref="J9:J10"/>
    <mergeCell ref="K9:M10"/>
    <mergeCell ref="N9:P10"/>
    <mergeCell ref="Q9:U9"/>
    <mergeCell ref="N2:P2"/>
    <mergeCell ref="Q2:V2"/>
    <mergeCell ref="I4:I8"/>
    <mergeCell ref="J4:J8"/>
    <mergeCell ref="F6:G6"/>
    <mergeCell ref="F7:G7"/>
    <mergeCell ref="S7:T7"/>
    <mergeCell ref="S8:T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zoomScaleNormal="100" workbookViewId="0">
      <selection activeCell="J13" sqref="J13"/>
    </sheetView>
  </sheetViews>
  <sheetFormatPr defaultColWidth="8.6640625" defaultRowHeight="15" customHeight="1" x14ac:dyDescent="0.3"/>
  <cols>
    <col min="1" max="1" width="25.6640625" customWidth="1"/>
    <col min="2" max="2" width="20.6640625" customWidth="1"/>
    <col min="3" max="3" width="50.6640625" customWidth="1"/>
    <col min="4" max="4" width="18.6640625" customWidth="1"/>
    <col min="5" max="6" width="18.6640625" hidden="1" customWidth="1"/>
  </cols>
  <sheetData>
    <row r="1" spans="1:8" ht="30" customHeight="1" x14ac:dyDescent="0.3">
      <c r="A1" s="57" t="s">
        <v>14</v>
      </c>
      <c r="B1" s="57" t="s">
        <v>15</v>
      </c>
      <c r="C1" s="57" t="s">
        <v>16</v>
      </c>
      <c r="D1" s="57" t="s">
        <v>17</v>
      </c>
      <c r="E1" s="57" t="s">
        <v>18</v>
      </c>
      <c r="F1" s="57" t="s">
        <v>19</v>
      </c>
    </row>
    <row r="2" spans="1:8" ht="33" customHeight="1" x14ac:dyDescent="0.3">
      <c r="A2" s="58" t="s">
        <v>20</v>
      </c>
      <c r="B2" s="58" t="s">
        <v>21</v>
      </c>
      <c r="C2" s="59" t="s">
        <v>22</v>
      </c>
      <c r="D2" s="60">
        <v>145</v>
      </c>
      <c r="E2" s="61">
        <f>ROUNDUP(((AREASUITEMASTER+AREAQUARTO+AREASALAESTAR)*1.1/2.5),0)</f>
        <v>22</v>
      </c>
      <c r="F2" s="61">
        <f t="shared" ref="F2:F8" si="0">E2*D2</f>
        <v>3190</v>
      </c>
      <c r="G2" s="62"/>
      <c r="H2" s="62"/>
    </row>
    <row r="3" spans="1:8" ht="33" customHeight="1" x14ac:dyDescent="0.3">
      <c r="A3" s="58" t="s">
        <v>23</v>
      </c>
      <c r="B3" s="58" t="s">
        <v>24</v>
      </c>
      <c r="C3" s="59" t="s">
        <v>25</v>
      </c>
      <c r="D3" s="60">
        <v>85</v>
      </c>
      <c r="E3" s="61">
        <f>ROUNDUP(((AREAWC*2+AREACOZINHA)*1.15/2),0)</f>
        <v>15</v>
      </c>
      <c r="F3" s="61">
        <f t="shared" si="0"/>
        <v>1275</v>
      </c>
    </row>
    <row r="4" spans="1:8" ht="33" customHeight="1" x14ac:dyDescent="0.3">
      <c r="A4" s="58" t="s">
        <v>26</v>
      </c>
      <c r="B4" s="58" t="s">
        <v>27</v>
      </c>
      <c r="C4" s="59" t="s">
        <v>28</v>
      </c>
      <c r="D4" s="60">
        <v>350</v>
      </c>
      <c r="E4" s="61">
        <f>(((PSUITEMASTER+PERIMQUARTO+PERIMETROSALA+PERIMCOSINHA)*2.8)/100)*18</f>
        <v>32.76</v>
      </c>
      <c r="F4" s="61">
        <f t="shared" si="0"/>
        <v>11466</v>
      </c>
    </row>
    <row r="5" spans="1:8" ht="33" customHeight="1" x14ac:dyDescent="0.3">
      <c r="A5" s="58" t="s">
        <v>29</v>
      </c>
      <c r="B5" s="58" t="s">
        <v>30</v>
      </c>
      <c r="C5" s="59" t="s">
        <v>31</v>
      </c>
      <c r="D5" s="60">
        <v>95</v>
      </c>
      <c r="E5" s="61">
        <f>ROUNDUP((AREAWC*2)/20,0)</f>
        <v>1</v>
      </c>
      <c r="F5" s="61">
        <f t="shared" si="0"/>
        <v>95</v>
      </c>
    </row>
    <row r="6" spans="1:8" ht="33" customHeight="1" x14ac:dyDescent="0.3">
      <c r="A6" s="58" t="s">
        <v>32</v>
      </c>
      <c r="B6" s="58" t="s">
        <v>33</v>
      </c>
      <c r="C6" s="59" t="s">
        <v>34</v>
      </c>
      <c r="D6" s="60">
        <v>35</v>
      </c>
      <c r="E6" s="61">
        <f>ROUNDUP((AREASUITEMASTER+AREAQUARTO+AREASALAESTAR+AREACOZINHA)/4,0)</f>
        <v>17</v>
      </c>
      <c r="F6" s="61">
        <f t="shared" si="0"/>
        <v>595</v>
      </c>
    </row>
    <row r="7" spans="1:8" ht="33" customHeight="1" x14ac:dyDescent="0.3">
      <c r="A7" s="58" t="s">
        <v>35</v>
      </c>
      <c r="B7" s="58" t="s">
        <v>33</v>
      </c>
      <c r="C7" s="59" t="s">
        <v>36</v>
      </c>
      <c r="D7" s="60">
        <v>18</v>
      </c>
      <c r="E7" s="61">
        <f>ROUNDUP((AREASUITEMASTER+AREAQUARTO+AREASALAESTAR+AREACOZINHA+AREAWC*2)/3,0)</f>
        <v>25</v>
      </c>
      <c r="F7" s="61">
        <f t="shared" si="0"/>
        <v>450</v>
      </c>
    </row>
    <row r="8" spans="1:8" ht="33" customHeight="1" x14ac:dyDescent="0.3">
      <c r="A8" s="58" t="s">
        <v>37</v>
      </c>
      <c r="B8" s="58" t="s">
        <v>38</v>
      </c>
      <c r="C8" s="59" t="s">
        <v>39</v>
      </c>
      <c r="D8" s="60">
        <v>45</v>
      </c>
      <c r="E8" s="61">
        <f>ROUNDUP(((PSUITEMASTER+PERIMQUARTO+PERIMETROSALA)*1.1/2.5),0)</f>
        <v>22</v>
      </c>
      <c r="F8" s="61">
        <f t="shared" si="0"/>
        <v>990</v>
      </c>
    </row>
    <row r="11" spans="1:8" ht="15.75" customHeight="1" x14ac:dyDescent="0.3">
      <c r="A11" s="63" t="s">
        <v>40</v>
      </c>
    </row>
    <row r="12" spans="1:8" ht="14.4" x14ac:dyDescent="0.3">
      <c r="A12" t="s">
        <v>41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68"/>
  <sheetViews>
    <sheetView tabSelected="1" zoomScaleNormal="100" workbookViewId="0">
      <selection activeCell="K9" sqref="K9"/>
    </sheetView>
  </sheetViews>
  <sheetFormatPr defaultColWidth="8.6640625" defaultRowHeight="15" customHeight="1" x14ac:dyDescent="0.3"/>
  <cols>
    <col min="1" max="1" width="5.44140625" customWidth="1"/>
    <col min="2" max="2" width="5.109375" customWidth="1"/>
    <col min="3" max="3" width="23" customWidth="1"/>
    <col min="4" max="4" width="24.5546875" customWidth="1"/>
    <col min="5" max="5" width="15.6640625" customWidth="1"/>
    <col min="6" max="7" width="18.6640625" customWidth="1"/>
    <col min="8" max="8" width="16.44140625" customWidth="1"/>
    <col min="9" max="9" width="7.6640625" customWidth="1"/>
    <col min="12" max="12" width="24.5546875" customWidth="1"/>
    <col min="13" max="13" width="2.88671875" customWidth="1"/>
    <col min="14" max="14" width="6" customWidth="1"/>
    <col min="16" max="16" width="10.6640625" customWidth="1"/>
  </cols>
  <sheetData>
    <row r="1" spans="2:10" ht="15" customHeight="1" x14ac:dyDescent="0.3">
      <c r="B1" s="14" t="s">
        <v>42</v>
      </c>
      <c r="C1" s="14"/>
      <c r="D1" s="14"/>
      <c r="E1" s="14"/>
      <c r="F1" s="14"/>
      <c r="G1" s="14"/>
      <c r="H1" s="14"/>
    </row>
    <row r="2" spans="2:10" ht="15" customHeight="1" x14ac:dyDescent="0.3">
      <c r="B2" s="14"/>
      <c r="C2" s="14"/>
      <c r="D2" s="14"/>
      <c r="E2" s="14"/>
      <c r="F2" s="14"/>
      <c r="G2" s="14"/>
      <c r="H2" s="14"/>
    </row>
    <row r="4" spans="2:10" ht="15.75" customHeight="1" x14ac:dyDescent="0.3">
      <c r="B4" s="64" t="s">
        <v>43</v>
      </c>
      <c r="C4" s="64" t="s">
        <v>44</v>
      </c>
      <c r="D4" s="64" t="s">
        <v>45</v>
      </c>
      <c r="E4" s="64" t="s">
        <v>46</v>
      </c>
      <c r="F4" s="64" t="s">
        <v>47</v>
      </c>
      <c r="G4" s="64" t="s">
        <v>48</v>
      </c>
      <c r="H4" s="64" t="s">
        <v>49</v>
      </c>
    </row>
    <row r="5" spans="2:10" ht="15.75" customHeight="1" x14ac:dyDescent="0.3">
      <c r="B5" s="13" t="s">
        <v>50</v>
      </c>
      <c r="C5" s="13"/>
      <c r="D5" s="13"/>
      <c r="E5" s="13"/>
      <c r="F5" s="13"/>
      <c r="G5" s="13"/>
      <c r="H5" s="13"/>
    </row>
    <row r="6" spans="2:10" ht="14.4" x14ac:dyDescent="0.3">
      <c r="B6" s="65">
        <v>1</v>
      </c>
      <c r="C6" s="66" t="s">
        <v>1</v>
      </c>
      <c r="D6" s="66" t="s">
        <v>20</v>
      </c>
      <c r="E6" s="67" t="s">
        <v>51</v>
      </c>
      <c r="F6" s="68">
        <f>ROUNDUP((AREASUITEMASTER*1.1/2.5),0)</f>
        <v>7</v>
      </c>
      <c r="G6" s="69">
        <f>'2 - Guia'!D2</f>
        <v>145</v>
      </c>
      <c r="H6" s="70">
        <f>F6*G6</f>
        <v>1015</v>
      </c>
    </row>
    <row r="7" spans="2:10" ht="14.4" x14ac:dyDescent="0.3">
      <c r="B7" s="65">
        <v>2</v>
      </c>
      <c r="C7" s="66" t="s">
        <v>1</v>
      </c>
      <c r="D7" s="66" t="s">
        <v>52</v>
      </c>
      <c r="E7" s="67" t="s">
        <v>53</v>
      </c>
      <c r="F7" s="68">
        <f>ROUNDUP((PSUITEMASTER*1.1/2.5),0)</f>
        <v>7</v>
      </c>
      <c r="G7" s="69">
        <f>'2 - Guia'!D8</f>
        <v>45</v>
      </c>
      <c r="H7" s="70">
        <f>F7*G7</f>
        <v>315</v>
      </c>
    </row>
    <row r="8" spans="2:10" ht="14.4" x14ac:dyDescent="0.3">
      <c r="B8" s="65">
        <v>3</v>
      </c>
      <c r="C8" s="66" t="s">
        <v>1</v>
      </c>
      <c r="D8" s="66" t="s">
        <v>26</v>
      </c>
      <c r="E8" s="67" t="s">
        <v>54</v>
      </c>
      <c r="F8" s="71">
        <f>((PSUITEMASTER*2.8)/100)*18</f>
        <v>7.56</v>
      </c>
      <c r="G8" s="69">
        <f>'2 - Guia'!D4</f>
        <v>350</v>
      </c>
      <c r="H8" s="70">
        <f>F8*G8</f>
        <v>2646</v>
      </c>
      <c r="J8" s="62"/>
    </row>
    <row r="9" spans="2:10" ht="14.4" x14ac:dyDescent="0.3">
      <c r="B9" s="65">
        <v>4</v>
      </c>
      <c r="C9" s="66" t="s">
        <v>1</v>
      </c>
      <c r="D9" s="66" t="s">
        <v>32</v>
      </c>
      <c r="E9" s="67" t="s">
        <v>55</v>
      </c>
      <c r="F9" s="68">
        <f>ROUNDUP(AREASUITEMASTER/4,0)</f>
        <v>4</v>
      </c>
      <c r="G9" s="69">
        <f>'2 - Guia'!D6</f>
        <v>35</v>
      </c>
      <c r="H9" s="70">
        <f>F9*G9</f>
        <v>140</v>
      </c>
    </row>
    <row r="10" spans="2:10" ht="15.75" customHeight="1" x14ac:dyDescent="0.3">
      <c r="B10" s="12" t="s">
        <v>56</v>
      </c>
      <c r="C10" s="12"/>
      <c r="D10" s="12"/>
      <c r="E10" s="12"/>
      <c r="F10" s="12"/>
      <c r="G10" s="12"/>
      <c r="H10" s="72">
        <f>SUM(H6:H9)</f>
        <v>4116</v>
      </c>
    </row>
    <row r="11" spans="2:10" ht="15.75" customHeight="1" x14ac:dyDescent="0.3">
      <c r="B11" s="13" t="s">
        <v>57</v>
      </c>
      <c r="C11" s="13"/>
      <c r="D11" s="13"/>
      <c r="E11" s="13"/>
      <c r="F11" s="13"/>
      <c r="G11" s="13"/>
      <c r="H11" s="13"/>
    </row>
    <row r="12" spans="2:10" ht="14.4" x14ac:dyDescent="0.3">
      <c r="B12" s="65">
        <v>1</v>
      </c>
      <c r="C12" s="66" t="s">
        <v>58</v>
      </c>
      <c r="D12" s="66" t="s">
        <v>23</v>
      </c>
      <c r="E12" s="67" t="s">
        <v>51</v>
      </c>
      <c r="F12" s="68">
        <f>ROUNDUP((AREAWC*2*1.15/2),0)</f>
        <v>5</v>
      </c>
      <c r="G12" s="69">
        <f>'2 - Guia'!D3</f>
        <v>85</v>
      </c>
      <c r="H12" s="70">
        <f>F12*G12</f>
        <v>425</v>
      </c>
    </row>
    <row r="13" spans="2:10" ht="14.4" x14ac:dyDescent="0.3">
      <c r="B13" s="65">
        <v>2</v>
      </c>
      <c r="C13" s="66" t="s">
        <v>58</v>
      </c>
      <c r="D13" s="66" t="s">
        <v>59</v>
      </c>
      <c r="E13" s="67" t="s">
        <v>51</v>
      </c>
      <c r="F13" s="68">
        <f>ROUNDUP((PERIMWC*2*2.5*1.15/2),0)</f>
        <v>23</v>
      </c>
      <c r="G13" s="69">
        <f>'2 - Guia'!D3</f>
        <v>85</v>
      </c>
      <c r="H13" s="70">
        <f>F13*G13</f>
        <v>1955</v>
      </c>
    </row>
    <row r="14" spans="2:10" ht="14.4" x14ac:dyDescent="0.3">
      <c r="B14" s="65">
        <v>3</v>
      </c>
      <c r="C14" s="66" t="s">
        <v>58</v>
      </c>
      <c r="D14" s="66" t="s">
        <v>60</v>
      </c>
      <c r="E14" s="67" t="s">
        <v>61</v>
      </c>
      <c r="F14" s="68">
        <f>ROUNDUP((AREAWC*2)/20,0)</f>
        <v>1</v>
      </c>
      <c r="G14" s="69">
        <f>'2 - Guia'!D5</f>
        <v>95</v>
      </c>
      <c r="H14" s="70">
        <f>F14*G14</f>
        <v>95</v>
      </c>
    </row>
    <row r="15" spans="2:10" ht="14.4" x14ac:dyDescent="0.3">
      <c r="B15" s="65">
        <v>4</v>
      </c>
      <c r="C15" s="66" t="s">
        <v>58</v>
      </c>
      <c r="D15" s="66" t="s">
        <v>32</v>
      </c>
      <c r="E15" s="67" t="s">
        <v>55</v>
      </c>
      <c r="F15" s="68">
        <f>ROUNDUP((AREAWC*2)/4,0)</f>
        <v>2</v>
      </c>
      <c r="G15" s="69">
        <f>'2 - Guia'!D6</f>
        <v>35</v>
      </c>
      <c r="H15" s="70">
        <f>F15*G15</f>
        <v>70</v>
      </c>
    </row>
    <row r="16" spans="2:10" ht="15.75" customHeight="1" x14ac:dyDescent="0.3">
      <c r="B16" s="12" t="s">
        <v>62</v>
      </c>
      <c r="C16" s="12"/>
      <c r="D16" s="12"/>
      <c r="E16" s="12"/>
      <c r="F16" s="12"/>
      <c r="G16" s="12"/>
      <c r="H16" s="72">
        <f>SUM(H12:H15)</f>
        <v>2545</v>
      </c>
    </row>
    <row r="17" spans="2:8" ht="15.75" customHeight="1" x14ac:dyDescent="0.3">
      <c r="B17" s="13" t="s">
        <v>63</v>
      </c>
      <c r="C17" s="13"/>
      <c r="D17" s="13"/>
      <c r="E17" s="13"/>
      <c r="F17" s="13"/>
      <c r="G17" s="13"/>
      <c r="H17" s="13"/>
    </row>
    <row r="18" spans="2:8" ht="14.4" x14ac:dyDescent="0.3">
      <c r="B18" s="65">
        <v>1</v>
      </c>
      <c r="C18" s="66" t="s">
        <v>64</v>
      </c>
      <c r="D18" s="66" t="s">
        <v>20</v>
      </c>
      <c r="E18" s="67" t="s">
        <v>51</v>
      </c>
      <c r="F18" s="68">
        <f>ROUNDUP((AREAQUARTO*1.1/2.5),0)</f>
        <v>5</v>
      </c>
      <c r="G18" s="69">
        <f>'2 - Guia'!D2</f>
        <v>145</v>
      </c>
      <c r="H18" s="70">
        <f>F18*G18</f>
        <v>725</v>
      </c>
    </row>
    <row r="19" spans="2:8" ht="14.4" x14ac:dyDescent="0.3">
      <c r="B19" s="65">
        <v>2</v>
      </c>
      <c r="C19" s="66" t="s">
        <v>64</v>
      </c>
      <c r="D19" s="66" t="s">
        <v>52</v>
      </c>
      <c r="E19" s="67" t="s">
        <v>53</v>
      </c>
      <c r="F19" s="68">
        <f>ROUNDUP((PERIMQUARTO*1.1/2.5),0)</f>
        <v>6</v>
      </c>
      <c r="G19" s="69">
        <f>'2 - Guia'!D8</f>
        <v>45</v>
      </c>
      <c r="H19" s="70">
        <f>F19*G19</f>
        <v>270</v>
      </c>
    </row>
    <row r="20" spans="2:8" ht="14.4" x14ac:dyDescent="0.3">
      <c r="B20" s="65">
        <v>3</v>
      </c>
      <c r="C20" s="66" t="s">
        <v>64</v>
      </c>
      <c r="D20" s="66" t="s">
        <v>26</v>
      </c>
      <c r="E20" s="67" t="s">
        <v>54</v>
      </c>
      <c r="F20" s="68">
        <f>((PERIMQUARTO*2.8)/100)*18</f>
        <v>6.5519999999999996</v>
      </c>
      <c r="G20" s="69">
        <f>'2 - Guia'!D4</f>
        <v>350</v>
      </c>
      <c r="H20" s="70">
        <f>F20*G20</f>
        <v>2293.1999999999998</v>
      </c>
    </row>
    <row r="21" spans="2:8" ht="14.4" x14ac:dyDescent="0.3">
      <c r="B21" s="65">
        <v>4</v>
      </c>
      <c r="C21" s="66" t="s">
        <v>65</v>
      </c>
      <c r="D21" s="66" t="s">
        <v>32</v>
      </c>
      <c r="E21" s="67" t="s">
        <v>55</v>
      </c>
      <c r="F21" s="68">
        <f>ROUNDUP(AREAQUARTO/4,0)</f>
        <v>3</v>
      </c>
      <c r="G21" s="69">
        <f>'2 - Guia'!D6</f>
        <v>35</v>
      </c>
      <c r="H21" s="70">
        <f>F21*G21</f>
        <v>105</v>
      </c>
    </row>
    <row r="22" spans="2:8" ht="15.75" customHeight="1" x14ac:dyDescent="0.3">
      <c r="B22" s="12" t="s">
        <v>66</v>
      </c>
      <c r="C22" s="12"/>
      <c r="D22" s="12"/>
      <c r="E22" s="12"/>
      <c r="F22" s="12"/>
      <c r="G22" s="12"/>
      <c r="H22" s="72">
        <f>SUM(H18:H21)</f>
        <v>3393.2</v>
      </c>
    </row>
    <row r="23" spans="2:8" ht="15.75" customHeight="1" x14ac:dyDescent="0.3">
      <c r="B23" s="11" t="s">
        <v>67</v>
      </c>
      <c r="C23" s="11"/>
      <c r="D23" s="11"/>
      <c r="E23" s="11"/>
      <c r="F23" s="11"/>
      <c r="G23" s="11"/>
      <c r="H23" s="11"/>
    </row>
    <row r="24" spans="2:8" ht="14.4" x14ac:dyDescent="0.3">
      <c r="B24" s="65">
        <v>1</v>
      </c>
      <c r="C24" s="66" t="s">
        <v>68</v>
      </c>
      <c r="D24" s="66" t="s">
        <v>20</v>
      </c>
      <c r="E24" s="67" t="s">
        <v>51</v>
      </c>
      <c r="F24" s="68">
        <f>ROUNDUP((AREASALAESTAR*1.1/2.5),0)</f>
        <v>11</v>
      </c>
      <c r="G24" s="69">
        <f>'2 - Guia'!D2</f>
        <v>145</v>
      </c>
      <c r="H24" s="70">
        <f>F24*G24</f>
        <v>1595</v>
      </c>
    </row>
    <row r="25" spans="2:8" ht="14.4" x14ac:dyDescent="0.3">
      <c r="B25" s="65">
        <v>2</v>
      </c>
      <c r="C25" s="66" t="s">
        <v>68</v>
      </c>
      <c r="D25" s="66" t="s">
        <v>52</v>
      </c>
      <c r="E25" s="67" t="s">
        <v>53</v>
      </c>
      <c r="F25" s="68">
        <f>ROUNDUP((PERIMETROSALA*1.1/2.5),0)</f>
        <v>9</v>
      </c>
      <c r="G25" s="69">
        <f>'2 - Guia'!D8</f>
        <v>45</v>
      </c>
      <c r="H25" s="70">
        <f>F25*G25</f>
        <v>405</v>
      </c>
    </row>
    <row r="26" spans="2:8" ht="14.4" x14ac:dyDescent="0.3">
      <c r="B26" s="65">
        <v>3</v>
      </c>
      <c r="C26" s="66" t="s">
        <v>68</v>
      </c>
      <c r="D26" s="66" t="s">
        <v>26</v>
      </c>
      <c r="E26" s="67" t="s">
        <v>54</v>
      </c>
      <c r="F26" s="68">
        <f>((PERIMETROSALA*2.8)/100)*18</f>
        <v>10.080000000000002</v>
      </c>
      <c r="G26" s="69">
        <f>'2 - Guia'!D4</f>
        <v>350</v>
      </c>
      <c r="H26" s="70">
        <f>F26*G26</f>
        <v>3528.0000000000005</v>
      </c>
    </row>
    <row r="27" spans="2:8" ht="14.4" x14ac:dyDescent="0.3">
      <c r="B27" s="65">
        <v>4</v>
      </c>
      <c r="C27" s="66" t="s">
        <v>68</v>
      </c>
      <c r="D27" s="66" t="s">
        <v>32</v>
      </c>
      <c r="E27" s="67" t="s">
        <v>55</v>
      </c>
      <c r="F27" s="68">
        <f>ROUNDUP(AREASALAESTAR/4,0)</f>
        <v>6</v>
      </c>
      <c r="G27" s="69">
        <f>'2 - Guia'!D6</f>
        <v>35</v>
      </c>
      <c r="H27" s="70">
        <f>F27*G27</f>
        <v>210</v>
      </c>
    </row>
    <row r="28" spans="2:8" ht="15.75" customHeight="1" x14ac:dyDescent="0.3">
      <c r="B28" s="12" t="s">
        <v>69</v>
      </c>
      <c r="C28" s="12"/>
      <c r="D28" s="12"/>
      <c r="E28" s="12"/>
      <c r="F28" s="12"/>
      <c r="G28" s="12"/>
      <c r="H28" s="72">
        <f>SUM(H24:H27)</f>
        <v>5738</v>
      </c>
    </row>
    <row r="29" spans="2:8" ht="15.75" customHeight="1" x14ac:dyDescent="0.3">
      <c r="B29" s="11" t="s">
        <v>70</v>
      </c>
      <c r="C29" s="11"/>
      <c r="D29" s="11"/>
      <c r="E29" s="11"/>
      <c r="F29" s="11"/>
      <c r="G29" s="11"/>
      <c r="H29" s="11"/>
    </row>
    <row r="30" spans="2:8" ht="14.4" x14ac:dyDescent="0.3">
      <c r="B30" s="65">
        <v>1</v>
      </c>
      <c r="C30" s="66" t="s">
        <v>12</v>
      </c>
      <c r="D30" s="66" t="s">
        <v>23</v>
      </c>
      <c r="E30" s="67" t="s">
        <v>51</v>
      </c>
      <c r="F30" s="68">
        <f>ROUNDUP((AREACOZINHA*1.15/2),0)</f>
        <v>11</v>
      </c>
      <c r="G30" s="69">
        <f>'2 - Guia'!D3</f>
        <v>85</v>
      </c>
      <c r="H30" s="70">
        <f>F30*G30</f>
        <v>935</v>
      </c>
    </row>
    <row r="31" spans="2:8" ht="14.4" x14ac:dyDescent="0.3">
      <c r="B31" s="65">
        <v>2</v>
      </c>
      <c r="C31" s="66" t="s">
        <v>12</v>
      </c>
      <c r="D31" s="66" t="s">
        <v>59</v>
      </c>
      <c r="E31" s="67" t="s">
        <v>51</v>
      </c>
      <c r="F31" s="68">
        <f>ROUNDUP((PERIMCOSINHA*2.5*1.15/2),0)</f>
        <v>25</v>
      </c>
      <c r="G31" s="69">
        <f>'2 - Guia'!D3</f>
        <v>85</v>
      </c>
      <c r="H31" s="70">
        <f>F31*G31</f>
        <v>2125</v>
      </c>
    </row>
    <row r="32" spans="2:8" ht="14.4" x14ac:dyDescent="0.3">
      <c r="B32" s="65">
        <v>4</v>
      </c>
      <c r="C32" s="66" t="s">
        <v>12</v>
      </c>
      <c r="D32" s="66" t="s">
        <v>32</v>
      </c>
      <c r="E32" s="67" t="s">
        <v>55</v>
      </c>
      <c r="F32" s="68">
        <f>ROUNDUP(AREACOZINHA/4,0)</f>
        <v>5</v>
      </c>
      <c r="G32" s="69">
        <f>'2 - Guia'!D6</f>
        <v>35</v>
      </c>
      <c r="H32" s="70">
        <f>F32*G32</f>
        <v>175</v>
      </c>
    </row>
    <row r="33" spans="2:12" ht="15.75" customHeight="1" x14ac:dyDescent="0.3">
      <c r="B33" s="12" t="s">
        <v>71</v>
      </c>
      <c r="C33" s="12"/>
      <c r="D33" s="12"/>
      <c r="E33" s="12"/>
      <c r="F33" s="12"/>
      <c r="G33" s="12"/>
      <c r="H33" s="72">
        <f>SUM(H30:H32)</f>
        <v>3235</v>
      </c>
    </row>
    <row r="34" spans="2:12" ht="19.5" customHeight="1" x14ac:dyDescent="0.35">
      <c r="B34" s="10" t="s">
        <v>72</v>
      </c>
      <c r="C34" s="10"/>
      <c r="D34" s="10"/>
      <c r="E34" s="10"/>
      <c r="F34" s="10"/>
      <c r="G34" s="10"/>
      <c r="H34" s="73">
        <f>SUM(H33,H28,H22,H16,H10)</f>
        <v>19027.2</v>
      </c>
    </row>
    <row r="35" spans="2:12" ht="14.4" x14ac:dyDescent="0.3">
      <c r="B35" s="9"/>
      <c r="C35" s="9"/>
      <c r="D35" s="9"/>
      <c r="E35" s="9"/>
      <c r="F35" s="9"/>
      <c r="G35" s="9"/>
      <c r="H35" s="9"/>
    </row>
    <row r="36" spans="2:12" ht="15.75" customHeight="1" x14ac:dyDescent="0.3">
      <c r="B36" s="74"/>
      <c r="C36" s="74"/>
      <c r="D36" s="74"/>
      <c r="E36" s="74"/>
      <c r="F36" s="74"/>
      <c r="G36" s="74"/>
      <c r="H36" s="74"/>
    </row>
    <row r="37" spans="2:12" ht="16.5" customHeight="1" x14ac:dyDescent="0.3">
      <c r="B37" s="8" t="s">
        <v>73</v>
      </c>
      <c r="C37" s="8"/>
      <c r="D37" s="8"/>
      <c r="E37" s="8"/>
      <c r="F37" s="8"/>
      <c r="G37" s="8"/>
      <c r="H37" s="8"/>
    </row>
    <row r="38" spans="2:12" ht="14.4" x14ac:dyDescent="0.3">
      <c r="B38" s="7" t="s">
        <v>74</v>
      </c>
      <c r="C38" s="7"/>
      <c r="D38" s="75" t="s">
        <v>20</v>
      </c>
      <c r="E38" s="76" t="s">
        <v>51</v>
      </c>
      <c r="F38" s="77">
        <f>SUM(F6,F18,F24)</f>
        <v>23</v>
      </c>
      <c r="G38" s="78">
        <v>145</v>
      </c>
      <c r="H38" s="79">
        <f t="shared" ref="H38:H44" si="0">F38*G38</f>
        <v>3335</v>
      </c>
    </row>
    <row r="39" spans="2:12" ht="14.4" x14ac:dyDescent="0.3">
      <c r="B39" s="7"/>
      <c r="C39" s="7"/>
      <c r="D39" s="80" t="s">
        <v>52</v>
      </c>
      <c r="E39" s="67" t="s">
        <v>53</v>
      </c>
      <c r="F39" s="81">
        <f>SUM(F7,F19,F25)</f>
        <v>22</v>
      </c>
      <c r="G39" s="69">
        <v>45</v>
      </c>
      <c r="H39" s="70">
        <f t="shared" si="0"/>
        <v>990</v>
      </c>
    </row>
    <row r="40" spans="2:12" ht="14.4" x14ac:dyDescent="0.3">
      <c r="B40" s="7"/>
      <c r="C40" s="7"/>
      <c r="D40" s="80" t="s">
        <v>26</v>
      </c>
      <c r="E40" s="67" t="s">
        <v>54</v>
      </c>
      <c r="F40" s="82">
        <f>SUM(F8,F20,F26)</f>
        <v>24.192</v>
      </c>
      <c r="G40" s="69">
        <v>350</v>
      </c>
      <c r="H40" s="70">
        <f t="shared" si="0"/>
        <v>8467.2000000000007</v>
      </c>
    </row>
    <row r="41" spans="2:12" ht="14.4" x14ac:dyDescent="0.3">
      <c r="B41" s="7"/>
      <c r="C41" s="7"/>
      <c r="D41" s="80" t="s">
        <v>32</v>
      </c>
      <c r="E41" s="67" t="s">
        <v>55</v>
      </c>
      <c r="F41" s="68">
        <f>SUM(F9,F15,F21,F27,F32)</f>
        <v>20</v>
      </c>
      <c r="G41" s="69">
        <v>35</v>
      </c>
      <c r="H41" s="70">
        <f t="shared" si="0"/>
        <v>700</v>
      </c>
    </row>
    <row r="42" spans="2:12" ht="14.4" x14ac:dyDescent="0.3">
      <c r="B42" s="7"/>
      <c r="C42" s="7"/>
      <c r="D42" s="80" t="s">
        <v>23</v>
      </c>
      <c r="E42" s="67" t="s">
        <v>51</v>
      </c>
      <c r="F42" s="68">
        <f>SUM(F12,F30)</f>
        <v>16</v>
      </c>
      <c r="G42" s="69">
        <v>85</v>
      </c>
      <c r="H42" s="70">
        <f t="shared" si="0"/>
        <v>1360</v>
      </c>
    </row>
    <row r="43" spans="2:12" ht="14.4" x14ac:dyDescent="0.3">
      <c r="B43" s="7"/>
      <c r="C43" s="7"/>
      <c r="D43" s="80" t="s">
        <v>59</v>
      </c>
      <c r="E43" s="67" t="s">
        <v>51</v>
      </c>
      <c r="F43" s="68">
        <f>SUM(F13,F31)</f>
        <v>48</v>
      </c>
      <c r="G43" s="69">
        <v>85</v>
      </c>
      <c r="H43" s="70">
        <f t="shared" si="0"/>
        <v>4080</v>
      </c>
    </row>
    <row r="44" spans="2:12" ht="15.75" customHeight="1" x14ac:dyDescent="0.3">
      <c r="B44" s="7"/>
      <c r="C44" s="7"/>
      <c r="D44" s="83" t="s">
        <v>60</v>
      </c>
      <c r="E44" s="84" t="s">
        <v>61</v>
      </c>
      <c r="F44" s="85">
        <f>F14</f>
        <v>1</v>
      </c>
      <c r="G44" s="86">
        <v>95</v>
      </c>
      <c r="H44" s="87">
        <f t="shared" si="0"/>
        <v>95</v>
      </c>
    </row>
    <row r="45" spans="2:12" ht="19.5" customHeight="1" x14ac:dyDescent="0.35">
      <c r="B45" s="88"/>
      <c r="C45" s="89"/>
      <c r="D45" s="90"/>
      <c r="E45" s="91"/>
      <c r="F45" s="6" t="s">
        <v>75</v>
      </c>
      <c r="G45" s="6"/>
      <c r="H45" s="92">
        <f>SUM(H38:H44)</f>
        <v>19027.2</v>
      </c>
    </row>
    <row r="46" spans="2:12" ht="14.4" x14ac:dyDescent="0.3">
      <c r="B46" s="93"/>
      <c r="C46" s="93"/>
      <c r="D46" s="94"/>
      <c r="E46" s="95"/>
      <c r="F46" s="95"/>
      <c r="G46" s="96"/>
      <c r="H46" s="96"/>
    </row>
    <row r="47" spans="2:12" ht="14.4" x14ac:dyDescent="0.3">
      <c r="J47" s="96"/>
      <c r="L47" s="97"/>
    </row>
    <row r="49" spans="8:12" ht="14.4" x14ac:dyDescent="0.3">
      <c r="H49" s="96"/>
      <c r="L49" s="97"/>
    </row>
    <row r="50" spans="8:12" ht="14.4" x14ac:dyDescent="0.3">
      <c r="L50" s="97"/>
    </row>
    <row r="51" spans="8:12" ht="14.4" x14ac:dyDescent="0.3">
      <c r="L51" s="97"/>
    </row>
    <row r="68" spans="3:6" ht="14.4" x14ac:dyDescent="0.3">
      <c r="C68" s="98" t="s">
        <v>76</v>
      </c>
      <c r="D68" s="98"/>
      <c r="E68" s="98"/>
      <c r="F68" s="98"/>
    </row>
  </sheetData>
  <mergeCells count="16">
    <mergeCell ref="F45:G45"/>
    <mergeCell ref="B33:G33"/>
    <mergeCell ref="B34:G34"/>
    <mergeCell ref="B35:H35"/>
    <mergeCell ref="B37:H37"/>
    <mergeCell ref="B38:C44"/>
    <mergeCell ref="B17:H17"/>
    <mergeCell ref="B22:G22"/>
    <mergeCell ref="B23:H23"/>
    <mergeCell ref="B28:G28"/>
    <mergeCell ref="B29:H29"/>
    <mergeCell ref="B1:H2"/>
    <mergeCell ref="B5:H5"/>
    <mergeCell ref="B10:G10"/>
    <mergeCell ref="B11:H11"/>
    <mergeCell ref="B16:G16"/>
  </mergeCells>
  <printOptions horizontalCentered="1"/>
  <pageMargins left="0.70833333333333304" right="0.62986111111111098" top="0.74791666666666701" bottom="0.35416666666666702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10</vt:i4>
      </vt:variant>
    </vt:vector>
  </HeadingPairs>
  <TitlesOfParts>
    <vt:vector size="13" baseType="lpstr">
      <vt:lpstr>1 - Planta</vt:lpstr>
      <vt:lpstr>2 - Guia</vt:lpstr>
      <vt:lpstr>3 - Orçamento</vt:lpstr>
      <vt:lpstr>AREACOZINHA</vt:lpstr>
      <vt:lpstr>AREAQUARTO</vt:lpstr>
      <vt:lpstr>AREASALAESTAR</vt:lpstr>
      <vt:lpstr>AREASUITEMASTER</vt:lpstr>
      <vt:lpstr>AREAWC</vt:lpstr>
      <vt:lpstr>PERIMCOSINHA</vt:lpstr>
      <vt:lpstr>PERIMETROSALA</vt:lpstr>
      <vt:lpstr>PERIMQUARTO</vt:lpstr>
      <vt:lpstr>PERIMWC</vt:lpstr>
      <vt:lpstr>PSUITEMASTER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Leandro Rodrigues Marcelino</cp:lastModifiedBy>
  <dcterms:modified xsi:type="dcterms:W3CDTF">2026-10-08T11:49:08Z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2026-03-26T20:09:25Z</dcterms:created>
  <dc:creator>User</dc:creator>
  <dc:description/>
  <dc:language>en-US</dc:language>
  <cp:lastModifiedBy>Laboratorio-Info</cp:lastModifiedBy>
  <dcterms:modified xsi:type="dcterms:W3CDTF">2026-10-08T11:45:53Z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0x010100D4670B37555EB846B4AA62FD9B7A573F</vt:lpwstr>
  </property>
</Properties>
</file>