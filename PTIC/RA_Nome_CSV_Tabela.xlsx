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luno\Desktop\"/>
    </mc:Choice>
  </mc:AlternateContent>
  <bookViews>
    <workbookView xWindow="0" yWindow="0" windowWidth="21600" windowHeight="9630"/>
  </bookViews>
  <sheets>
    <sheet name="Planilh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7" i="1" l="1"/>
  <c r="H11" i="1"/>
  <c r="H23" i="1"/>
  <c r="H27" i="1"/>
  <c r="H39" i="1"/>
  <c r="H43" i="1"/>
  <c r="H55" i="1"/>
  <c r="G5" i="1"/>
  <c r="G6" i="1"/>
  <c r="G7" i="1"/>
  <c r="G8" i="1"/>
  <c r="G9" i="1"/>
  <c r="G10" i="1"/>
  <c r="G11" i="1"/>
  <c r="G12" i="1"/>
  <c r="G13" i="1"/>
  <c r="G14" i="1"/>
  <c r="G15" i="1"/>
  <c r="H15" i="1" s="1"/>
  <c r="G16" i="1"/>
  <c r="G17" i="1"/>
  <c r="G18" i="1"/>
  <c r="G19" i="1"/>
  <c r="H19" i="1" s="1"/>
  <c r="G20" i="1"/>
  <c r="G21" i="1"/>
  <c r="G22" i="1"/>
  <c r="G23" i="1"/>
  <c r="G24" i="1"/>
  <c r="G25" i="1"/>
  <c r="G26" i="1"/>
  <c r="G27" i="1"/>
  <c r="G28" i="1"/>
  <c r="G29" i="1"/>
  <c r="G30" i="1"/>
  <c r="G31" i="1"/>
  <c r="H31" i="1" s="1"/>
  <c r="G32" i="1"/>
  <c r="G33" i="1"/>
  <c r="G34" i="1"/>
  <c r="G35" i="1"/>
  <c r="H35" i="1" s="1"/>
  <c r="G36" i="1"/>
  <c r="G37" i="1"/>
  <c r="G38" i="1"/>
  <c r="G39" i="1"/>
  <c r="G40" i="1"/>
  <c r="G41" i="1"/>
  <c r="G42" i="1"/>
  <c r="G43" i="1"/>
  <c r="G44" i="1"/>
  <c r="G45" i="1"/>
  <c r="G46" i="1"/>
  <c r="G47" i="1"/>
  <c r="H47" i="1" s="1"/>
  <c r="G48" i="1"/>
  <c r="G49" i="1"/>
  <c r="G50" i="1"/>
  <c r="G51" i="1"/>
  <c r="H51" i="1" s="1"/>
  <c r="G52" i="1"/>
  <c r="G53" i="1"/>
  <c r="G54" i="1"/>
  <c r="G55" i="1"/>
  <c r="G4" i="1"/>
  <c r="H54" i="1" l="1"/>
  <c r="H50" i="1"/>
  <c r="H46" i="1"/>
  <c r="H42" i="1"/>
  <c r="H38" i="1"/>
  <c r="H34" i="1"/>
  <c r="H30" i="1"/>
  <c r="H26" i="1"/>
  <c r="H22" i="1"/>
  <c r="H18" i="1"/>
  <c r="H14" i="1"/>
  <c r="H10" i="1"/>
  <c r="H6" i="1"/>
  <c r="H53" i="1"/>
  <c r="H49" i="1"/>
  <c r="H45" i="1"/>
  <c r="H41" i="1"/>
  <c r="H37" i="1"/>
  <c r="H33" i="1"/>
  <c r="H29" i="1"/>
  <c r="H25" i="1"/>
  <c r="H21" i="1"/>
  <c r="H17" i="1"/>
  <c r="H13" i="1"/>
  <c r="H9" i="1"/>
  <c r="H5" i="1"/>
  <c r="H52" i="1"/>
  <c r="H48" i="1"/>
  <c r="H44" i="1"/>
  <c r="H40" i="1"/>
  <c r="H36" i="1"/>
  <c r="H32" i="1"/>
  <c r="H28" i="1"/>
  <c r="H24" i="1"/>
  <c r="H20" i="1"/>
  <c r="H16" i="1"/>
  <c r="H12" i="1"/>
  <c r="H8" i="1"/>
  <c r="H4" i="1"/>
  <c r="C1" i="1"/>
</calcChain>
</file>

<file path=xl/sharedStrings.xml><?xml version="1.0" encoding="utf-8"?>
<sst xmlns="http://schemas.openxmlformats.org/spreadsheetml/2006/main" count="165" uniqueCount="51">
  <si>
    <t>Data</t>
  </si>
  <si>
    <t>Produto</t>
  </si>
  <si>
    <t>Categoria</t>
  </si>
  <si>
    <t>Qtd</t>
  </si>
  <si>
    <t>Preco_Unit</t>
  </si>
  <si>
    <t>Pagamento</t>
  </si>
  <si>
    <t>Mouse Gamer RGB</t>
  </si>
  <si>
    <t>Casa</t>
  </si>
  <si>
    <t>Pix</t>
  </si>
  <si>
    <t>Teclado Mecânico</t>
  </si>
  <si>
    <t>Escritório</t>
  </si>
  <si>
    <t>Cartão</t>
  </si>
  <si>
    <t>SSD 1TB NVMe</t>
  </si>
  <si>
    <t>Eletrônicos</t>
  </si>
  <si>
    <t>Boleto</t>
  </si>
  <si>
    <t>Cadeira Gamer</t>
  </si>
  <si>
    <t>Webcam Full HD 1080p</t>
  </si>
  <si>
    <t>Dinheiro</t>
  </si>
  <si>
    <t>Mousepad Gigante 90x40</t>
  </si>
  <si>
    <t>Headset Gamer 7.1</t>
  </si>
  <si>
    <t>SSD 500GB SATA</t>
  </si>
  <si>
    <t>Memória RAM 8GB DDR4</t>
  </si>
  <si>
    <t>Placa de Vídeo RTX 3060</t>
  </si>
  <si>
    <t>Gabinete ATX Vidro Temperado</t>
  </si>
  <si>
    <t>Fonte 650W 80 Plus</t>
  </si>
  <si>
    <t>Suporte Articulado Monitor</t>
  </si>
  <si>
    <t>Mouse Sem Fio</t>
  </si>
  <si>
    <t>Teclado Sem Fio</t>
  </si>
  <si>
    <t>HD Externo 1TB</t>
  </si>
  <si>
    <t>Cooler RGB 120mm</t>
  </si>
  <si>
    <t>Water Cooler 240mm</t>
  </si>
  <si>
    <t>Placa-Mãe B550M</t>
  </si>
  <si>
    <t>Processador Ryzen 5 5600X</t>
  </si>
  <si>
    <t>Processador Core i5 12ª Geração</t>
  </si>
  <si>
    <t>Notebook 14" i5 8GB</t>
  </si>
  <si>
    <t>Monitor 24" Full HD</t>
  </si>
  <si>
    <t>Impressora Multifuncional</t>
  </si>
  <si>
    <t>Roteador Wi-Fi 6</t>
  </si>
  <si>
    <t>Switch 8 Portas</t>
  </si>
  <si>
    <t>HD Interno 2TB</t>
  </si>
  <si>
    <t>Teclado Mecânico Switch Azul</t>
  </si>
  <si>
    <t>Cadeira Escritório</t>
  </si>
  <si>
    <t>Mesa Escritório 1.20m</t>
  </si>
  <si>
    <t>Memória RAM 16GB DDR4</t>
  </si>
  <si>
    <t>Placa de Vídeo RX 6600</t>
  </si>
  <si>
    <t>Fonte 500W 80 Plus</t>
  </si>
  <si>
    <t>Monitor 27" 144Hz</t>
  </si>
  <si>
    <t>HD Externo 2TB</t>
  </si>
  <si>
    <t>Total</t>
  </si>
  <si>
    <t>FATURAMENTO TOTAL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</si>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</sst>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R$&quot;\ #,##0.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20"/>
      <color theme="1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0" xfId="0" applyBorder="1" applyAlignment="1">
      <alignment horizontal="center" vertical="center"/>
    </xf>
    <xf numFmtId="164" fontId="0" fillId="0" borderId="0" xfId="0" applyNumberFormat="1" applyBorder="1" applyAlignment="1">
      <alignment horizontal="center" vertical="center"/>
    </xf>
    <xf numFmtId="14" fontId="0" fillId="0" borderId="0" xfId="0" applyNumberFormat="1" applyBorder="1" applyAlignment="1">
      <alignment horizontal="center" vertical="center"/>
    </xf>
    <xf numFmtId="164" fontId="2" fillId="2" borderId="2" xfId="0" applyNumberFormat="1" applyFont="1" applyFill="1" applyBorder="1" applyAlignment="1">
      <alignment horizontal="center" vertical="center"/>
    </xf>
    <xf numFmtId="164" fontId="2" fillId="2" borderId="3" xfId="0" applyNumberFormat="1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left" vertical="center"/>
    </xf>
    <xf numFmtId="164" fontId="2" fillId="2" borderId="2" xfId="0" applyNumberFormat="1" applyFont="1" applyFill="1" applyBorder="1" applyAlignment="1">
      <alignment horizontal="left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164" fontId="1" fillId="0" borderId="5" xfId="0" applyNumberFormat="1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164" fontId="2" fillId="2" borderId="7" xfId="0" applyNumberFormat="1" applyFont="1" applyFill="1" applyBorder="1" applyAlignment="1">
      <alignment horizontal="left" vertical="center"/>
    </xf>
    <xf numFmtId="164" fontId="2" fillId="2" borderId="8" xfId="0" applyNumberFormat="1" applyFont="1" applyFill="1" applyBorder="1" applyAlignment="1">
      <alignment horizontal="left" vertical="center"/>
    </xf>
    <xf numFmtId="164" fontId="2" fillId="2" borderId="8" xfId="0" applyNumberFormat="1" applyFont="1" applyFill="1" applyBorder="1" applyAlignment="1">
      <alignment horizontal="center" vertical="center"/>
    </xf>
    <xf numFmtId="164" fontId="2" fillId="2" borderId="9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12">
    <dxf>
      <font>
        <b/>
        <strike val="0"/>
        <outline val="0"/>
        <shadow val="0"/>
        <u val="none"/>
        <vertAlign val="baseline"/>
        <sz val="11"/>
        <color theme="1"/>
        <name val="Arial"/>
        <scheme val="none"/>
      </font>
      <alignment horizontal="center" vertical="center" textRotation="0" wrapText="0" indent="0" justifyLastLine="0" shrinkToFit="0" readingOrder="0"/>
      <border diagonalUp="0" diagonalDown="0">
        <left/>
        <right/>
        <top/>
        <bottom/>
        <vertical/>
        <horizontal/>
      </border>
    </dxf>
    <dxf>
      <border>
        <bottom style="medium">
          <color indexed="64"/>
        </bottom>
      </border>
    </dxf>
    <dxf>
      <numFmt numFmtId="164" formatCode="&quot;R$&quot;\ #,##0.00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4" formatCode="&quot;R$&quot;\ #,##0.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ela1" displayName="Tabela1" ref="A3:H55" totalsRowShown="0" headerRowDxfId="0" dataDxfId="11" headerRowBorderDxfId="1" tableBorderDxfId="10">
  <tableColumns count="8">
    <tableColumn id="1" name="Data" dataDxfId="9"/>
    <tableColumn id="2" name="Produto" dataDxfId="8"/>
    <tableColumn id="3" name="Categoria" dataDxfId="7"/>
    <tableColumn id="4" name="Qtd" dataDxfId="6"/>
    <tableColumn id="5" name="Preco_Unit" dataDxfId="5"/>
    <tableColumn id="6" name="Pagamento" dataDxfId="4"/>
    <tableColumn id="7" name="Total" dataDxfId="2">
      <calculatedColumnFormula>Tabela1[[#This Row],[Qtd]]*Tabela1[[#This Row],[Preco_Unit]]</calculatedColumnFormula>
    </tableColumn>
    <tableColumn id="8" name="Status" dataDxfId="3">
      <calculatedColumnFormula>IF(Tabela1[[#This Row],[Total]]&gt;1000,"Alto",IF(Tabela1[[#This Row],[Total]]&gt;=500,"Médio","Baixo"))</calculatedColumnFormula>
    </tableColumn>
  </tableColumns>
  <tableStyleInfo name="TableStyleDark9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abSelected="1" workbookViewId="0">
      <selection activeCell="J9" sqref="J9"/>
    </sheetView>
  </sheetViews>
  <sheetFormatPr defaultRowHeight="15" x14ac:dyDescent="0.25"/>
  <cols>
    <col min="1" max="1" width="10.7109375" style="1" bestFit="1" customWidth="1"/>
    <col min="2" max="2" width="29.85546875" style="1" bestFit="1" customWidth="1"/>
    <col min="3" max="3" width="15.42578125" style="1" bestFit="1" customWidth="1"/>
    <col min="4" max="4" width="6.42578125" style="1" customWidth="1"/>
    <col min="5" max="5" width="16.85546875" style="2" bestFit="1" customWidth="1"/>
    <col min="6" max="6" width="16.85546875" style="1" bestFit="1" customWidth="1"/>
    <col min="7" max="7" width="10.7109375" style="1" bestFit="1" customWidth="1"/>
  </cols>
  <sheetData>
    <row r="1" spans="1:8" ht="15" customHeight="1" x14ac:dyDescent="0.25">
      <c r="A1" s="8" t="s">
        <v>49</v>
      </c>
      <c r="B1" s="9"/>
      <c r="C1" s="6">
        <f>SUM(Tabela1[Total])</f>
        <v>30947.7</v>
      </c>
      <c r="D1" s="6"/>
      <c r="E1" s="6"/>
      <c r="F1" s="6"/>
      <c r="G1" s="6"/>
      <c r="H1" s="7"/>
    </row>
    <row r="2" spans="1:8" ht="15" customHeight="1" thickBot="1" x14ac:dyDescent="0.3">
      <c r="A2" s="14"/>
      <c r="B2" s="15"/>
      <c r="C2" s="16"/>
      <c r="D2" s="16"/>
      <c r="E2" s="16"/>
      <c r="F2" s="16"/>
      <c r="G2" s="16"/>
      <c r="H2" s="17"/>
    </row>
    <row r="3" spans="1:8" ht="15.75" thickBot="1" x14ac:dyDescent="0.3">
      <c r="A3" s="10" t="s">
        <v>0</v>
      </c>
      <c r="B3" s="11" t="s">
        <v>1</v>
      </c>
      <c r="C3" s="11" t="s">
        <v>2</v>
      </c>
      <c r="D3" s="11" t="s">
        <v>3</v>
      </c>
      <c r="E3" s="12" t="s">
        <v>4</v>
      </c>
      <c r="F3" s="11" t="s">
        <v>5</v>
      </c>
      <c r="G3" s="11" t="s">
        <v>48</v>
      </c>
      <c r="H3" s="13" t="s">
        <v>50</v>
      </c>
    </row>
    <row r="4" spans="1:8" x14ac:dyDescent="0.25">
      <c r="A4" s="5">
        <v>46027</v>
      </c>
      <c r="B4" s="3" t="s">
        <v>6</v>
      </c>
      <c r="C4" s="3" t="s">
        <v>7</v>
      </c>
      <c r="D4" s="3">
        <v>2</v>
      </c>
      <c r="E4" s="4">
        <v>89.9</v>
      </c>
      <c r="F4" s="3" t="s">
        <v>8</v>
      </c>
      <c r="G4" s="4">
        <f>Tabela1[[#This Row],[Qtd]]*Tabela1[[#This Row],[Preco_Unit]]</f>
        <v>179.8</v>
      </c>
      <c r="H4" s="3" t="str">
        <f>IF(Tabela1[[#This Row],[Total]]&gt;1000,"Alto",IF(Tabela1[[#This Row],[Total]]&gt;=500,"Médio","Baixo"))</f>
        <v>Baixo</v>
      </c>
    </row>
    <row r="5" spans="1:8" x14ac:dyDescent="0.25">
      <c r="A5" s="5">
        <v>46028</v>
      </c>
      <c r="B5" s="3" t="s">
        <v>9</v>
      </c>
      <c r="C5" s="3" t="s">
        <v>10</v>
      </c>
      <c r="D5" s="3">
        <v>1</v>
      </c>
      <c r="E5" s="4">
        <v>180</v>
      </c>
      <c r="F5" s="3" t="s">
        <v>11</v>
      </c>
      <c r="G5" s="4">
        <f>Tabela1[[#This Row],[Qtd]]*Tabela1[[#This Row],[Preco_Unit]]</f>
        <v>180</v>
      </c>
      <c r="H5" s="3" t="str">
        <f>IF(Tabela1[[#This Row],[Total]]&gt;1000,"Alto",IF(Tabela1[[#This Row],[Total]]&gt;=500,"Médio","Baixo"))</f>
        <v>Baixo</v>
      </c>
    </row>
    <row r="6" spans="1:8" x14ac:dyDescent="0.25">
      <c r="A6" s="5">
        <v>46029</v>
      </c>
      <c r="B6" s="3" t="s">
        <v>12</v>
      </c>
      <c r="C6" s="3" t="s">
        <v>13</v>
      </c>
      <c r="D6" s="3">
        <v>3</v>
      </c>
      <c r="E6" s="4">
        <v>350</v>
      </c>
      <c r="F6" s="3" t="s">
        <v>14</v>
      </c>
      <c r="G6" s="4">
        <f>Tabela1[[#This Row],[Qtd]]*Tabela1[[#This Row],[Preco_Unit]]</f>
        <v>1050</v>
      </c>
      <c r="H6" s="3" t="str">
        <f>IF(Tabela1[[#This Row],[Total]]&gt;1000,"Alto",IF(Tabela1[[#This Row],[Total]]&gt;=500,"Médio","Baixo"))</f>
        <v>Alto</v>
      </c>
    </row>
    <row r="7" spans="1:8" x14ac:dyDescent="0.25">
      <c r="A7" s="5">
        <v>46030</v>
      </c>
      <c r="B7" s="3" t="s">
        <v>15</v>
      </c>
      <c r="C7" s="3" t="s">
        <v>10</v>
      </c>
      <c r="D7" s="3">
        <v>1</v>
      </c>
      <c r="E7" s="4">
        <v>950</v>
      </c>
      <c r="F7" s="3" t="s">
        <v>8</v>
      </c>
      <c r="G7" s="4">
        <f>Tabela1[[#This Row],[Qtd]]*Tabela1[[#This Row],[Preco_Unit]]</f>
        <v>950</v>
      </c>
      <c r="H7" s="3" t="str">
        <f>IF(Tabela1[[#This Row],[Total]]&gt;1000,"Alto",IF(Tabela1[[#This Row],[Total]]&gt;=500,"Médio","Baixo"))</f>
        <v>Médio</v>
      </c>
    </row>
    <row r="8" spans="1:8" x14ac:dyDescent="0.25">
      <c r="A8" s="5">
        <v>46031</v>
      </c>
      <c r="B8" s="3" t="s">
        <v>16</v>
      </c>
      <c r="C8" s="3" t="s">
        <v>7</v>
      </c>
      <c r="D8" s="3">
        <v>2</v>
      </c>
      <c r="E8" s="4">
        <v>160</v>
      </c>
      <c r="F8" s="3" t="s">
        <v>17</v>
      </c>
      <c r="G8" s="4">
        <f>Tabela1[[#This Row],[Qtd]]*Tabela1[[#This Row],[Preco_Unit]]</f>
        <v>320</v>
      </c>
      <c r="H8" s="3" t="str">
        <f>IF(Tabela1[[#This Row],[Total]]&gt;1000,"Alto",IF(Tabela1[[#This Row],[Total]]&gt;=500,"Médio","Baixo"))</f>
        <v>Baixo</v>
      </c>
    </row>
    <row r="9" spans="1:8" x14ac:dyDescent="0.25">
      <c r="A9" s="5">
        <v>46032</v>
      </c>
      <c r="B9" s="3" t="s">
        <v>18</v>
      </c>
      <c r="C9" s="3" t="s">
        <v>7</v>
      </c>
      <c r="D9" s="3">
        <v>5</v>
      </c>
      <c r="E9" s="4">
        <v>65</v>
      </c>
      <c r="F9" s="3" t="s">
        <v>8</v>
      </c>
      <c r="G9" s="4">
        <f>Tabela1[[#This Row],[Qtd]]*Tabela1[[#This Row],[Preco_Unit]]</f>
        <v>325</v>
      </c>
      <c r="H9" s="3" t="str">
        <f>IF(Tabela1[[#This Row],[Total]]&gt;1000,"Alto",IF(Tabela1[[#This Row],[Total]]&gt;=500,"Médio","Baixo"))</f>
        <v>Baixo</v>
      </c>
    </row>
    <row r="10" spans="1:8" x14ac:dyDescent="0.25">
      <c r="A10" s="5">
        <v>46033</v>
      </c>
      <c r="B10" s="3" t="s">
        <v>19</v>
      </c>
      <c r="C10" s="3" t="s">
        <v>7</v>
      </c>
      <c r="D10" s="3">
        <v>1</v>
      </c>
      <c r="E10" s="4">
        <v>220</v>
      </c>
      <c r="F10" s="3" t="s">
        <v>11</v>
      </c>
      <c r="G10" s="4">
        <f>Tabela1[[#This Row],[Qtd]]*Tabela1[[#This Row],[Preco_Unit]]</f>
        <v>220</v>
      </c>
      <c r="H10" s="3" t="str">
        <f>IF(Tabela1[[#This Row],[Total]]&gt;1000,"Alto",IF(Tabela1[[#This Row],[Total]]&gt;=500,"Médio","Baixo"))</f>
        <v>Baixo</v>
      </c>
    </row>
    <row r="11" spans="1:8" x14ac:dyDescent="0.25">
      <c r="A11" s="5">
        <v>46034</v>
      </c>
      <c r="B11" s="3" t="s">
        <v>20</v>
      </c>
      <c r="C11" s="3" t="s">
        <v>13</v>
      </c>
      <c r="D11" s="3">
        <v>4</v>
      </c>
      <c r="E11" s="4">
        <v>280</v>
      </c>
      <c r="F11" s="3" t="s">
        <v>8</v>
      </c>
      <c r="G11" s="4">
        <f>Tabela1[[#This Row],[Qtd]]*Tabela1[[#This Row],[Preco_Unit]]</f>
        <v>1120</v>
      </c>
      <c r="H11" s="3" t="str">
        <f>IF(Tabela1[[#This Row],[Total]]&gt;1000,"Alto",IF(Tabela1[[#This Row],[Total]]&gt;=500,"Médio","Baixo"))</f>
        <v>Alto</v>
      </c>
    </row>
    <row r="12" spans="1:8" x14ac:dyDescent="0.25">
      <c r="A12" s="5">
        <v>46035</v>
      </c>
      <c r="B12" s="3" t="s">
        <v>21</v>
      </c>
      <c r="C12" s="3" t="s">
        <v>13</v>
      </c>
      <c r="D12" s="3">
        <v>2</v>
      </c>
      <c r="E12" s="4">
        <v>190</v>
      </c>
      <c r="F12" s="3" t="s">
        <v>14</v>
      </c>
      <c r="G12" s="4">
        <f>Tabela1[[#This Row],[Qtd]]*Tabela1[[#This Row],[Preco_Unit]]</f>
        <v>380</v>
      </c>
      <c r="H12" s="3" t="str">
        <f>IF(Tabela1[[#This Row],[Total]]&gt;1000,"Alto",IF(Tabela1[[#This Row],[Total]]&gt;=500,"Médio","Baixo"))</f>
        <v>Baixo</v>
      </c>
    </row>
    <row r="13" spans="1:8" x14ac:dyDescent="0.25">
      <c r="A13" s="5">
        <v>46036</v>
      </c>
      <c r="B13" s="3" t="s">
        <v>22</v>
      </c>
      <c r="C13" s="3" t="s">
        <v>13</v>
      </c>
      <c r="D13" s="3">
        <v>1</v>
      </c>
      <c r="E13" s="4">
        <v>1850</v>
      </c>
      <c r="F13" s="3" t="s">
        <v>11</v>
      </c>
      <c r="G13" s="4">
        <f>Tabela1[[#This Row],[Qtd]]*Tabela1[[#This Row],[Preco_Unit]]</f>
        <v>1850</v>
      </c>
      <c r="H13" s="3" t="str">
        <f>IF(Tabela1[[#This Row],[Total]]&gt;1000,"Alto",IF(Tabela1[[#This Row],[Total]]&gt;=500,"Médio","Baixo"))</f>
        <v>Alto</v>
      </c>
    </row>
    <row r="14" spans="1:8" x14ac:dyDescent="0.25">
      <c r="A14" s="5">
        <v>46037</v>
      </c>
      <c r="B14" s="3" t="s">
        <v>23</v>
      </c>
      <c r="C14" s="3" t="s">
        <v>7</v>
      </c>
      <c r="D14" s="3">
        <v>1</v>
      </c>
      <c r="E14" s="4">
        <v>260</v>
      </c>
      <c r="F14" s="3" t="s">
        <v>8</v>
      </c>
      <c r="G14" s="4">
        <f>Tabela1[[#This Row],[Qtd]]*Tabela1[[#This Row],[Preco_Unit]]</f>
        <v>260</v>
      </c>
      <c r="H14" s="3" t="str">
        <f>IF(Tabela1[[#This Row],[Total]]&gt;1000,"Alto",IF(Tabela1[[#This Row],[Total]]&gt;=500,"Médio","Baixo"))</f>
        <v>Baixo</v>
      </c>
    </row>
    <row r="15" spans="1:8" x14ac:dyDescent="0.25">
      <c r="A15" s="5">
        <v>46038</v>
      </c>
      <c r="B15" s="3" t="s">
        <v>24</v>
      </c>
      <c r="C15" s="3" t="s">
        <v>13</v>
      </c>
      <c r="D15" s="3">
        <v>1</v>
      </c>
      <c r="E15" s="4">
        <v>340</v>
      </c>
      <c r="F15" s="3" t="s">
        <v>14</v>
      </c>
      <c r="G15" s="4">
        <f>Tabela1[[#This Row],[Qtd]]*Tabela1[[#This Row],[Preco_Unit]]</f>
        <v>340</v>
      </c>
      <c r="H15" s="3" t="str">
        <f>IF(Tabela1[[#This Row],[Total]]&gt;1000,"Alto",IF(Tabela1[[#This Row],[Total]]&gt;=500,"Médio","Baixo"))</f>
        <v>Baixo</v>
      </c>
    </row>
    <row r="16" spans="1:8" x14ac:dyDescent="0.25">
      <c r="A16" s="5">
        <v>46039</v>
      </c>
      <c r="B16" s="3" t="s">
        <v>25</v>
      </c>
      <c r="C16" s="3" t="s">
        <v>10</v>
      </c>
      <c r="D16" s="3">
        <v>2</v>
      </c>
      <c r="E16" s="4">
        <v>195</v>
      </c>
      <c r="F16" s="3" t="s">
        <v>8</v>
      </c>
      <c r="G16" s="4">
        <f>Tabela1[[#This Row],[Qtd]]*Tabela1[[#This Row],[Preco_Unit]]</f>
        <v>390</v>
      </c>
      <c r="H16" s="3" t="str">
        <f>IF(Tabela1[[#This Row],[Total]]&gt;1000,"Alto",IF(Tabela1[[#This Row],[Total]]&gt;=500,"Médio","Baixo"))</f>
        <v>Baixo</v>
      </c>
    </row>
    <row r="17" spans="1:8" x14ac:dyDescent="0.25">
      <c r="A17" s="5">
        <v>46040</v>
      </c>
      <c r="B17" s="3" t="s">
        <v>26</v>
      </c>
      <c r="C17" s="3" t="s">
        <v>7</v>
      </c>
      <c r="D17" s="3">
        <v>3</v>
      </c>
      <c r="E17" s="4">
        <v>90</v>
      </c>
      <c r="F17" s="3" t="s">
        <v>17</v>
      </c>
      <c r="G17" s="4">
        <f>Tabela1[[#This Row],[Qtd]]*Tabela1[[#This Row],[Preco_Unit]]</f>
        <v>270</v>
      </c>
      <c r="H17" s="3" t="str">
        <f>IF(Tabela1[[#This Row],[Total]]&gt;1000,"Alto",IF(Tabela1[[#This Row],[Total]]&gt;=500,"Médio","Baixo"))</f>
        <v>Baixo</v>
      </c>
    </row>
    <row r="18" spans="1:8" x14ac:dyDescent="0.25">
      <c r="A18" s="5">
        <v>46041</v>
      </c>
      <c r="B18" s="3" t="s">
        <v>27</v>
      </c>
      <c r="C18" s="3" t="s">
        <v>10</v>
      </c>
      <c r="D18" s="3">
        <v>2</v>
      </c>
      <c r="E18" s="4">
        <v>120</v>
      </c>
      <c r="F18" s="3" t="s">
        <v>11</v>
      </c>
      <c r="G18" s="4">
        <f>Tabela1[[#This Row],[Qtd]]*Tabela1[[#This Row],[Preco_Unit]]</f>
        <v>240</v>
      </c>
      <c r="H18" s="3" t="str">
        <f>IF(Tabela1[[#This Row],[Total]]&gt;1000,"Alto",IF(Tabela1[[#This Row],[Total]]&gt;=500,"Médio","Baixo"))</f>
        <v>Baixo</v>
      </c>
    </row>
    <row r="19" spans="1:8" x14ac:dyDescent="0.25">
      <c r="A19" s="5">
        <v>46042</v>
      </c>
      <c r="B19" s="3" t="s">
        <v>28</v>
      </c>
      <c r="C19" s="3" t="s">
        <v>13</v>
      </c>
      <c r="D19" s="3">
        <v>1</v>
      </c>
      <c r="E19" s="4">
        <v>310</v>
      </c>
      <c r="F19" s="3" t="s">
        <v>8</v>
      </c>
      <c r="G19" s="4">
        <f>Tabela1[[#This Row],[Qtd]]*Tabela1[[#This Row],[Preco_Unit]]</f>
        <v>310</v>
      </c>
      <c r="H19" s="3" t="str">
        <f>IF(Tabela1[[#This Row],[Total]]&gt;1000,"Alto",IF(Tabela1[[#This Row],[Total]]&gt;=500,"Médio","Baixo"))</f>
        <v>Baixo</v>
      </c>
    </row>
    <row r="20" spans="1:8" x14ac:dyDescent="0.25">
      <c r="A20" s="5">
        <v>46043</v>
      </c>
      <c r="B20" s="3" t="s">
        <v>29</v>
      </c>
      <c r="C20" s="3" t="s">
        <v>7</v>
      </c>
      <c r="D20" s="3">
        <v>4</v>
      </c>
      <c r="E20" s="4">
        <v>45</v>
      </c>
      <c r="F20" s="3" t="s">
        <v>14</v>
      </c>
      <c r="G20" s="4">
        <f>Tabela1[[#This Row],[Qtd]]*Tabela1[[#This Row],[Preco_Unit]]</f>
        <v>180</v>
      </c>
      <c r="H20" s="3" t="str">
        <f>IF(Tabela1[[#This Row],[Total]]&gt;1000,"Alto",IF(Tabela1[[#This Row],[Total]]&gt;=500,"Médio","Baixo"))</f>
        <v>Baixo</v>
      </c>
    </row>
    <row r="21" spans="1:8" x14ac:dyDescent="0.25">
      <c r="A21" s="5">
        <v>46044</v>
      </c>
      <c r="B21" s="3" t="s">
        <v>30</v>
      </c>
      <c r="C21" s="3" t="s">
        <v>13</v>
      </c>
      <c r="D21" s="3">
        <v>1</v>
      </c>
      <c r="E21" s="4">
        <v>380</v>
      </c>
      <c r="F21" s="3" t="s">
        <v>11</v>
      </c>
      <c r="G21" s="4">
        <f>Tabela1[[#This Row],[Qtd]]*Tabela1[[#This Row],[Preco_Unit]]</f>
        <v>380</v>
      </c>
      <c r="H21" s="3" t="str">
        <f>IF(Tabela1[[#This Row],[Total]]&gt;1000,"Alto",IF(Tabela1[[#This Row],[Total]]&gt;=500,"Médio","Baixo"))</f>
        <v>Baixo</v>
      </c>
    </row>
    <row r="22" spans="1:8" x14ac:dyDescent="0.25">
      <c r="A22" s="5">
        <v>46045</v>
      </c>
      <c r="B22" s="3" t="s">
        <v>31</v>
      </c>
      <c r="C22" s="3" t="s">
        <v>13</v>
      </c>
      <c r="D22" s="3">
        <v>1</v>
      </c>
      <c r="E22" s="4">
        <v>720</v>
      </c>
      <c r="F22" s="3" t="s">
        <v>8</v>
      </c>
      <c r="G22" s="4">
        <f>Tabela1[[#This Row],[Qtd]]*Tabela1[[#This Row],[Preco_Unit]]</f>
        <v>720</v>
      </c>
      <c r="H22" s="3" t="str">
        <f>IF(Tabela1[[#This Row],[Total]]&gt;1000,"Alto",IF(Tabela1[[#This Row],[Total]]&gt;=500,"Médio","Baixo"))</f>
        <v>Médio</v>
      </c>
    </row>
    <row r="23" spans="1:8" x14ac:dyDescent="0.25">
      <c r="A23" s="5">
        <v>46046</v>
      </c>
      <c r="B23" s="3" t="s">
        <v>32</v>
      </c>
      <c r="C23" s="3" t="s">
        <v>13</v>
      </c>
      <c r="D23" s="3">
        <v>1</v>
      </c>
      <c r="E23" s="4">
        <v>890</v>
      </c>
      <c r="F23" s="3" t="s">
        <v>14</v>
      </c>
      <c r="G23" s="4">
        <f>Tabela1[[#This Row],[Qtd]]*Tabela1[[#This Row],[Preco_Unit]]</f>
        <v>890</v>
      </c>
      <c r="H23" s="3" t="str">
        <f>IF(Tabela1[[#This Row],[Total]]&gt;1000,"Alto",IF(Tabela1[[#This Row],[Total]]&gt;=500,"Médio","Baixo"))</f>
        <v>Médio</v>
      </c>
    </row>
    <row r="24" spans="1:8" x14ac:dyDescent="0.25">
      <c r="A24" s="5">
        <v>46047</v>
      </c>
      <c r="B24" s="3" t="s">
        <v>33</v>
      </c>
      <c r="C24" s="3" t="s">
        <v>13</v>
      </c>
      <c r="D24" s="3">
        <v>1</v>
      </c>
      <c r="E24" s="4">
        <v>950</v>
      </c>
      <c r="F24" s="3" t="s">
        <v>11</v>
      </c>
      <c r="G24" s="4">
        <f>Tabela1[[#This Row],[Qtd]]*Tabela1[[#This Row],[Preco_Unit]]</f>
        <v>950</v>
      </c>
      <c r="H24" s="3" t="str">
        <f>IF(Tabela1[[#This Row],[Total]]&gt;1000,"Alto",IF(Tabela1[[#This Row],[Total]]&gt;=500,"Médio","Baixo"))</f>
        <v>Médio</v>
      </c>
    </row>
    <row r="25" spans="1:8" x14ac:dyDescent="0.25">
      <c r="A25" s="5">
        <v>46048</v>
      </c>
      <c r="B25" s="3" t="s">
        <v>34</v>
      </c>
      <c r="C25" s="3" t="s">
        <v>13</v>
      </c>
      <c r="D25" s="3">
        <v>1</v>
      </c>
      <c r="E25" s="4">
        <v>2499</v>
      </c>
      <c r="F25" s="3" t="s">
        <v>8</v>
      </c>
      <c r="G25" s="4">
        <f>Tabela1[[#This Row],[Qtd]]*Tabela1[[#This Row],[Preco_Unit]]</f>
        <v>2499</v>
      </c>
      <c r="H25" s="3" t="str">
        <f>IF(Tabela1[[#This Row],[Total]]&gt;1000,"Alto",IF(Tabela1[[#This Row],[Total]]&gt;=500,"Médio","Baixo"))</f>
        <v>Alto</v>
      </c>
    </row>
    <row r="26" spans="1:8" x14ac:dyDescent="0.25">
      <c r="A26" s="5">
        <v>46049</v>
      </c>
      <c r="B26" s="3" t="s">
        <v>35</v>
      </c>
      <c r="C26" s="3" t="s">
        <v>7</v>
      </c>
      <c r="D26" s="3">
        <v>2</v>
      </c>
      <c r="E26" s="4">
        <v>650</v>
      </c>
      <c r="F26" s="3" t="s">
        <v>11</v>
      </c>
      <c r="G26" s="4">
        <f>Tabela1[[#This Row],[Qtd]]*Tabela1[[#This Row],[Preco_Unit]]</f>
        <v>1300</v>
      </c>
      <c r="H26" s="3" t="str">
        <f>IF(Tabela1[[#This Row],[Total]]&gt;1000,"Alto",IF(Tabela1[[#This Row],[Total]]&gt;=500,"Médio","Baixo"))</f>
        <v>Alto</v>
      </c>
    </row>
    <row r="27" spans="1:8" x14ac:dyDescent="0.25">
      <c r="A27" s="5">
        <v>46050</v>
      </c>
      <c r="B27" s="3" t="s">
        <v>36</v>
      </c>
      <c r="C27" s="3" t="s">
        <v>7</v>
      </c>
      <c r="D27" s="3">
        <v>1</v>
      </c>
      <c r="E27" s="4">
        <v>480</v>
      </c>
      <c r="F27" s="3" t="s">
        <v>14</v>
      </c>
      <c r="G27" s="4">
        <f>Tabela1[[#This Row],[Qtd]]*Tabela1[[#This Row],[Preco_Unit]]</f>
        <v>480</v>
      </c>
      <c r="H27" s="3" t="str">
        <f>IF(Tabela1[[#This Row],[Total]]&gt;1000,"Alto",IF(Tabela1[[#This Row],[Total]]&gt;=500,"Médio","Baixo"))</f>
        <v>Baixo</v>
      </c>
    </row>
    <row r="28" spans="1:8" x14ac:dyDescent="0.25">
      <c r="A28" s="5">
        <v>46051</v>
      </c>
      <c r="B28" s="3" t="s">
        <v>37</v>
      </c>
      <c r="C28" s="3" t="s">
        <v>7</v>
      </c>
      <c r="D28" s="3">
        <v>1</v>
      </c>
      <c r="E28" s="4">
        <v>210</v>
      </c>
      <c r="F28" s="3" t="s">
        <v>8</v>
      </c>
      <c r="G28" s="4">
        <f>Tabela1[[#This Row],[Qtd]]*Tabela1[[#This Row],[Preco_Unit]]</f>
        <v>210</v>
      </c>
      <c r="H28" s="3" t="str">
        <f>IF(Tabela1[[#This Row],[Total]]&gt;1000,"Alto",IF(Tabela1[[#This Row],[Total]]&gt;=500,"Médio","Baixo"))</f>
        <v>Baixo</v>
      </c>
    </row>
    <row r="29" spans="1:8" x14ac:dyDescent="0.25">
      <c r="A29" s="5">
        <v>46052</v>
      </c>
      <c r="B29" s="3" t="s">
        <v>38</v>
      </c>
      <c r="C29" s="3" t="s">
        <v>10</v>
      </c>
      <c r="D29" s="3">
        <v>1</v>
      </c>
      <c r="E29" s="4">
        <v>130</v>
      </c>
      <c r="F29" s="3" t="s">
        <v>17</v>
      </c>
      <c r="G29" s="4">
        <f>Tabela1[[#This Row],[Qtd]]*Tabela1[[#This Row],[Preco_Unit]]</f>
        <v>130</v>
      </c>
      <c r="H29" s="3" t="str">
        <f>IF(Tabela1[[#This Row],[Total]]&gt;1000,"Alto",IF(Tabela1[[#This Row],[Total]]&gt;=500,"Médio","Baixo"))</f>
        <v>Baixo</v>
      </c>
    </row>
    <row r="30" spans="1:8" x14ac:dyDescent="0.25">
      <c r="A30" s="5">
        <v>46053</v>
      </c>
      <c r="B30" s="3" t="s">
        <v>39</v>
      </c>
      <c r="C30" s="3" t="s">
        <v>13</v>
      </c>
      <c r="D30" s="3">
        <v>2</v>
      </c>
      <c r="E30" s="4">
        <v>310</v>
      </c>
      <c r="F30" s="3" t="s">
        <v>8</v>
      </c>
      <c r="G30" s="4">
        <f>Tabela1[[#This Row],[Qtd]]*Tabela1[[#This Row],[Preco_Unit]]</f>
        <v>620</v>
      </c>
      <c r="H30" s="3" t="str">
        <f>IF(Tabela1[[#This Row],[Total]]&gt;1000,"Alto",IF(Tabela1[[#This Row],[Total]]&gt;=500,"Médio","Baixo"))</f>
        <v>Médio</v>
      </c>
    </row>
    <row r="31" spans="1:8" x14ac:dyDescent="0.25">
      <c r="A31" s="5">
        <v>46054</v>
      </c>
      <c r="B31" s="3" t="s">
        <v>40</v>
      </c>
      <c r="C31" s="3" t="s">
        <v>10</v>
      </c>
      <c r="D31" s="3">
        <v>1</v>
      </c>
      <c r="E31" s="4">
        <v>180</v>
      </c>
      <c r="F31" s="3" t="s">
        <v>11</v>
      </c>
      <c r="G31" s="4">
        <f>Tabela1[[#This Row],[Qtd]]*Tabela1[[#This Row],[Preco_Unit]]</f>
        <v>180</v>
      </c>
      <c r="H31" s="3" t="str">
        <f>IF(Tabela1[[#This Row],[Total]]&gt;1000,"Alto",IF(Tabela1[[#This Row],[Total]]&gt;=500,"Médio","Baixo"))</f>
        <v>Baixo</v>
      </c>
    </row>
    <row r="32" spans="1:8" x14ac:dyDescent="0.25">
      <c r="A32" s="5">
        <v>46055</v>
      </c>
      <c r="B32" s="3" t="s">
        <v>6</v>
      </c>
      <c r="C32" s="3" t="s">
        <v>7</v>
      </c>
      <c r="D32" s="3">
        <v>1</v>
      </c>
      <c r="E32" s="4">
        <v>89.9</v>
      </c>
      <c r="F32" s="3" t="s">
        <v>8</v>
      </c>
      <c r="G32" s="4">
        <f>Tabela1[[#This Row],[Qtd]]*Tabela1[[#This Row],[Preco_Unit]]</f>
        <v>89.9</v>
      </c>
      <c r="H32" s="3" t="str">
        <f>IF(Tabela1[[#This Row],[Total]]&gt;1000,"Alto",IF(Tabela1[[#This Row],[Total]]&gt;=500,"Médio","Baixo"))</f>
        <v>Baixo</v>
      </c>
    </row>
    <row r="33" spans="1:8" x14ac:dyDescent="0.25">
      <c r="A33" s="5">
        <v>46056</v>
      </c>
      <c r="B33" s="3" t="s">
        <v>19</v>
      </c>
      <c r="C33" s="3" t="s">
        <v>7</v>
      </c>
      <c r="D33" s="3">
        <v>2</v>
      </c>
      <c r="E33" s="4">
        <v>220</v>
      </c>
      <c r="F33" s="3" t="s">
        <v>14</v>
      </c>
      <c r="G33" s="4">
        <f>Tabela1[[#This Row],[Qtd]]*Tabela1[[#This Row],[Preco_Unit]]</f>
        <v>440</v>
      </c>
      <c r="H33" s="3" t="str">
        <f>IF(Tabela1[[#This Row],[Total]]&gt;1000,"Alto",IF(Tabela1[[#This Row],[Total]]&gt;=500,"Médio","Baixo"))</f>
        <v>Baixo</v>
      </c>
    </row>
    <row r="34" spans="1:8" x14ac:dyDescent="0.25">
      <c r="A34" s="5">
        <v>46057</v>
      </c>
      <c r="B34" s="3" t="s">
        <v>16</v>
      </c>
      <c r="C34" s="3" t="s">
        <v>7</v>
      </c>
      <c r="D34" s="3">
        <v>1</v>
      </c>
      <c r="E34" s="4">
        <v>160</v>
      </c>
      <c r="F34" s="3" t="s">
        <v>8</v>
      </c>
      <c r="G34" s="4">
        <f>Tabela1[[#This Row],[Qtd]]*Tabela1[[#This Row],[Preco_Unit]]</f>
        <v>160</v>
      </c>
      <c r="H34" s="3" t="str">
        <f>IF(Tabela1[[#This Row],[Total]]&gt;1000,"Alto",IF(Tabela1[[#This Row],[Total]]&gt;=500,"Médio","Baixo"))</f>
        <v>Baixo</v>
      </c>
    </row>
    <row r="35" spans="1:8" x14ac:dyDescent="0.25">
      <c r="A35" s="5">
        <v>46058</v>
      </c>
      <c r="B35" s="3" t="s">
        <v>41</v>
      </c>
      <c r="C35" s="3" t="s">
        <v>10</v>
      </c>
      <c r="D35" s="3">
        <v>1</v>
      </c>
      <c r="E35" s="4">
        <v>420</v>
      </c>
      <c r="F35" s="3" t="s">
        <v>11</v>
      </c>
      <c r="G35" s="4">
        <f>Tabela1[[#This Row],[Qtd]]*Tabela1[[#This Row],[Preco_Unit]]</f>
        <v>420</v>
      </c>
      <c r="H35" s="3" t="str">
        <f>IF(Tabela1[[#This Row],[Total]]&gt;1000,"Alto",IF(Tabela1[[#This Row],[Total]]&gt;=500,"Médio","Baixo"))</f>
        <v>Baixo</v>
      </c>
    </row>
    <row r="36" spans="1:8" x14ac:dyDescent="0.25">
      <c r="A36" s="5">
        <v>46059</v>
      </c>
      <c r="B36" s="3" t="s">
        <v>42</v>
      </c>
      <c r="C36" s="3" t="s">
        <v>10</v>
      </c>
      <c r="D36" s="3">
        <v>1</v>
      </c>
      <c r="E36" s="4">
        <v>380</v>
      </c>
      <c r="F36" s="3" t="s">
        <v>8</v>
      </c>
      <c r="G36" s="4">
        <f>Tabela1[[#This Row],[Qtd]]*Tabela1[[#This Row],[Preco_Unit]]</f>
        <v>380</v>
      </c>
      <c r="H36" s="3" t="str">
        <f>IF(Tabela1[[#This Row],[Total]]&gt;1000,"Alto",IF(Tabela1[[#This Row],[Total]]&gt;=500,"Médio","Baixo"))</f>
        <v>Baixo</v>
      </c>
    </row>
    <row r="37" spans="1:8" x14ac:dyDescent="0.25">
      <c r="A37" s="5">
        <v>46060</v>
      </c>
      <c r="B37" s="3" t="s">
        <v>25</v>
      </c>
      <c r="C37" s="3" t="s">
        <v>10</v>
      </c>
      <c r="D37" s="3">
        <v>1</v>
      </c>
      <c r="E37" s="4">
        <v>195</v>
      </c>
      <c r="F37" s="3" t="s">
        <v>14</v>
      </c>
      <c r="G37" s="4">
        <f>Tabela1[[#This Row],[Qtd]]*Tabela1[[#This Row],[Preco_Unit]]</f>
        <v>195</v>
      </c>
      <c r="H37" s="3" t="str">
        <f>IF(Tabela1[[#This Row],[Total]]&gt;1000,"Alto",IF(Tabela1[[#This Row],[Total]]&gt;=500,"Médio","Baixo"))</f>
        <v>Baixo</v>
      </c>
    </row>
    <row r="38" spans="1:8" x14ac:dyDescent="0.25">
      <c r="A38" s="5">
        <v>46061</v>
      </c>
      <c r="B38" s="3" t="s">
        <v>12</v>
      </c>
      <c r="C38" s="3" t="s">
        <v>13</v>
      </c>
      <c r="D38" s="3">
        <v>1</v>
      </c>
      <c r="E38" s="4">
        <v>350</v>
      </c>
      <c r="F38" s="3" t="s">
        <v>8</v>
      </c>
      <c r="G38" s="4">
        <f>Tabela1[[#This Row],[Qtd]]*Tabela1[[#This Row],[Preco_Unit]]</f>
        <v>350</v>
      </c>
      <c r="H38" s="3" t="str">
        <f>IF(Tabela1[[#This Row],[Total]]&gt;1000,"Alto",IF(Tabela1[[#This Row],[Total]]&gt;=500,"Médio","Baixo"))</f>
        <v>Baixo</v>
      </c>
    </row>
    <row r="39" spans="1:8" x14ac:dyDescent="0.25">
      <c r="A39" s="5">
        <v>46062</v>
      </c>
      <c r="B39" s="3" t="s">
        <v>43</v>
      </c>
      <c r="C39" s="3" t="s">
        <v>13</v>
      </c>
      <c r="D39" s="3">
        <v>2</v>
      </c>
      <c r="E39" s="4">
        <v>280</v>
      </c>
      <c r="F39" s="3" t="s">
        <v>11</v>
      </c>
      <c r="G39" s="4">
        <f>Tabela1[[#This Row],[Qtd]]*Tabela1[[#This Row],[Preco_Unit]]</f>
        <v>560</v>
      </c>
      <c r="H39" s="3" t="str">
        <f>IF(Tabela1[[#This Row],[Total]]&gt;1000,"Alto",IF(Tabela1[[#This Row],[Total]]&gt;=500,"Médio","Baixo"))</f>
        <v>Médio</v>
      </c>
    </row>
    <row r="40" spans="1:8" x14ac:dyDescent="0.25">
      <c r="A40" s="5">
        <v>46063</v>
      </c>
      <c r="B40" s="3" t="s">
        <v>44</v>
      </c>
      <c r="C40" s="3" t="s">
        <v>13</v>
      </c>
      <c r="D40" s="3">
        <v>1</v>
      </c>
      <c r="E40" s="4">
        <v>1450</v>
      </c>
      <c r="F40" s="3" t="s">
        <v>14</v>
      </c>
      <c r="G40" s="4">
        <f>Tabela1[[#This Row],[Qtd]]*Tabela1[[#This Row],[Preco_Unit]]</f>
        <v>1450</v>
      </c>
      <c r="H40" s="3" t="str">
        <f>IF(Tabela1[[#This Row],[Total]]&gt;1000,"Alto",IF(Tabela1[[#This Row],[Total]]&gt;=500,"Médio","Baixo"))</f>
        <v>Alto</v>
      </c>
    </row>
    <row r="41" spans="1:8" x14ac:dyDescent="0.25">
      <c r="A41" s="5">
        <v>46064</v>
      </c>
      <c r="B41" s="3" t="s">
        <v>45</v>
      </c>
      <c r="C41" s="3" t="s">
        <v>13</v>
      </c>
      <c r="D41" s="3">
        <v>3</v>
      </c>
      <c r="E41" s="4">
        <v>250</v>
      </c>
      <c r="F41" s="3" t="s">
        <v>8</v>
      </c>
      <c r="G41" s="4">
        <f>Tabela1[[#This Row],[Qtd]]*Tabela1[[#This Row],[Preco_Unit]]</f>
        <v>750</v>
      </c>
      <c r="H41" s="3" t="str">
        <f>IF(Tabela1[[#This Row],[Total]]&gt;1000,"Alto",IF(Tabela1[[#This Row],[Total]]&gt;=500,"Médio","Baixo"))</f>
        <v>Médio</v>
      </c>
    </row>
    <row r="42" spans="1:8" x14ac:dyDescent="0.25">
      <c r="A42" s="5">
        <v>46065</v>
      </c>
      <c r="B42" s="3" t="s">
        <v>23</v>
      </c>
      <c r="C42" s="3" t="s">
        <v>7</v>
      </c>
      <c r="D42" s="3">
        <v>1</v>
      </c>
      <c r="E42" s="4">
        <v>260</v>
      </c>
      <c r="F42" s="3" t="s">
        <v>11</v>
      </c>
      <c r="G42" s="4">
        <f>Tabela1[[#This Row],[Qtd]]*Tabela1[[#This Row],[Preco_Unit]]</f>
        <v>260</v>
      </c>
      <c r="H42" s="3" t="str">
        <f>IF(Tabela1[[#This Row],[Total]]&gt;1000,"Alto",IF(Tabela1[[#This Row],[Total]]&gt;=500,"Médio","Baixo"))</f>
        <v>Baixo</v>
      </c>
    </row>
    <row r="43" spans="1:8" x14ac:dyDescent="0.25">
      <c r="A43" s="5">
        <v>46066</v>
      </c>
      <c r="B43" s="3" t="s">
        <v>29</v>
      </c>
      <c r="C43" s="3" t="s">
        <v>7</v>
      </c>
      <c r="D43" s="3">
        <v>6</v>
      </c>
      <c r="E43" s="4">
        <v>45</v>
      </c>
      <c r="F43" s="3" t="s">
        <v>17</v>
      </c>
      <c r="G43" s="4">
        <f>Tabela1[[#This Row],[Qtd]]*Tabela1[[#This Row],[Preco_Unit]]</f>
        <v>270</v>
      </c>
      <c r="H43" s="3" t="str">
        <f>IF(Tabela1[[#This Row],[Total]]&gt;1000,"Alto",IF(Tabela1[[#This Row],[Total]]&gt;=500,"Médio","Baixo"))</f>
        <v>Baixo</v>
      </c>
    </row>
    <row r="44" spans="1:8" x14ac:dyDescent="0.25">
      <c r="A44" s="5">
        <v>46067</v>
      </c>
      <c r="B44" s="3" t="s">
        <v>18</v>
      </c>
      <c r="C44" s="3" t="s">
        <v>7</v>
      </c>
      <c r="D44" s="3">
        <v>4</v>
      </c>
      <c r="E44" s="4">
        <v>65</v>
      </c>
      <c r="F44" s="3" t="s">
        <v>8</v>
      </c>
      <c r="G44" s="4">
        <f>Tabela1[[#This Row],[Qtd]]*Tabela1[[#This Row],[Preco_Unit]]</f>
        <v>260</v>
      </c>
      <c r="H44" s="3" t="str">
        <f>IF(Tabela1[[#This Row],[Total]]&gt;1000,"Alto",IF(Tabela1[[#This Row],[Total]]&gt;=500,"Médio","Baixo"))</f>
        <v>Baixo</v>
      </c>
    </row>
    <row r="45" spans="1:8" x14ac:dyDescent="0.25">
      <c r="A45" s="5">
        <v>46068</v>
      </c>
      <c r="B45" s="3" t="s">
        <v>27</v>
      </c>
      <c r="C45" s="3" t="s">
        <v>10</v>
      </c>
      <c r="D45" s="3">
        <v>3</v>
      </c>
      <c r="E45" s="4">
        <v>120</v>
      </c>
      <c r="F45" s="3" t="s">
        <v>14</v>
      </c>
      <c r="G45" s="4">
        <f>Tabela1[[#This Row],[Qtd]]*Tabela1[[#This Row],[Preco_Unit]]</f>
        <v>360</v>
      </c>
      <c r="H45" s="3" t="str">
        <f>IF(Tabela1[[#This Row],[Total]]&gt;1000,"Alto",IF(Tabela1[[#This Row],[Total]]&gt;=500,"Médio","Baixo"))</f>
        <v>Baixo</v>
      </c>
    </row>
    <row r="46" spans="1:8" x14ac:dyDescent="0.25">
      <c r="A46" s="5">
        <v>46069</v>
      </c>
      <c r="B46" s="3" t="s">
        <v>26</v>
      </c>
      <c r="C46" s="3" t="s">
        <v>7</v>
      </c>
      <c r="D46" s="3">
        <v>2</v>
      </c>
      <c r="E46" s="4">
        <v>90</v>
      </c>
      <c r="F46" s="3" t="s">
        <v>8</v>
      </c>
      <c r="G46" s="4">
        <f>Tabela1[[#This Row],[Qtd]]*Tabela1[[#This Row],[Preco_Unit]]</f>
        <v>180</v>
      </c>
      <c r="H46" s="3" t="str">
        <f>IF(Tabela1[[#This Row],[Total]]&gt;1000,"Alto",IF(Tabela1[[#This Row],[Total]]&gt;=500,"Médio","Baixo"))</f>
        <v>Baixo</v>
      </c>
    </row>
    <row r="47" spans="1:8" x14ac:dyDescent="0.25">
      <c r="A47" s="5">
        <v>46070</v>
      </c>
      <c r="B47" s="3" t="s">
        <v>46</v>
      </c>
      <c r="C47" s="3" t="s">
        <v>7</v>
      </c>
      <c r="D47" s="3">
        <v>1</v>
      </c>
      <c r="E47" s="4">
        <v>980</v>
      </c>
      <c r="F47" s="3" t="s">
        <v>11</v>
      </c>
      <c r="G47" s="4">
        <f>Tabela1[[#This Row],[Qtd]]*Tabela1[[#This Row],[Preco_Unit]]</f>
        <v>980</v>
      </c>
      <c r="H47" s="3" t="str">
        <f>IF(Tabela1[[#This Row],[Total]]&gt;1000,"Alto",IF(Tabela1[[#This Row],[Total]]&gt;=500,"Médio","Baixo"))</f>
        <v>Médio</v>
      </c>
    </row>
    <row r="48" spans="1:8" x14ac:dyDescent="0.25">
      <c r="A48" s="5">
        <v>46071</v>
      </c>
      <c r="B48" s="3" t="s">
        <v>34</v>
      </c>
      <c r="C48" s="3" t="s">
        <v>13</v>
      </c>
      <c r="D48" s="3">
        <v>1</v>
      </c>
      <c r="E48" s="4">
        <v>2499</v>
      </c>
      <c r="F48" s="3" t="s">
        <v>14</v>
      </c>
      <c r="G48" s="4">
        <f>Tabela1[[#This Row],[Qtd]]*Tabela1[[#This Row],[Preco_Unit]]</f>
        <v>2499</v>
      </c>
      <c r="H48" s="3" t="str">
        <f>IF(Tabela1[[#This Row],[Total]]&gt;1000,"Alto",IF(Tabela1[[#This Row],[Total]]&gt;=500,"Médio","Baixo"))</f>
        <v>Alto</v>
      </c>
    </row>
    <row r="49" spans="1:8" x14ac:dyDescent="0.25">
      <c r="A49" s="5">
        <v>46072</v>
      </c>
      <c r="B49" s="3" t="s">
        <v>47</v>
      </c>
      <c r="C49" s="3" t="s">
        <v>13</v>
      </c>
      <c r="D49" s="3">
        <v>1</v>
      </c>
      <c r="E49" s="4">
        <v>420</v>
      </c>
      <c r="F49" s="3" t="s">
        <v>8</v>
      </c>
      <c r="G49" s="4">
        <f>Tabela1[[#This Row],[Qtd]]*Tabela1[[#This Row],[Preco_Unit]]</f>
        <v>420</v>
      </c>
      <c r="H49" s="3" t="str">
        <f>IF(Tabela1[[#This Row],[Total]]&gt;1000,"Alto",IF(Tabela1[[#This Row],[Total]]&gt;=500,"Médio","Baixo"))</f>
        <v>Baixo</v>
      </c>
    </row>
    <row r="50" spans="1:8" x14ac:dyDescent="0.25">
      <c r="A50" s="5">
        <v>46073</v>
      </c>
      <c r="B50" s="3" t="s">
        <v>37</v>
      </c>
      <c r="C50" s="3" t="s">
        <v>7</v>
      </c>
      <c r="D50" s="3">
        <v>2</v>
      </c>
      <c r="E50" s="4">
        <v>210</v>
      </c>
      <c r="F50" s="3" t="s">
        <v>17</v>
      </c>
      <c r="G50" s="4">
        <f>Tabela1[[#This Row],[Qtd]]*Tabela1[[#This Row],[Preco_Unit]]</f>
        <v>420</v>
      </c>
      <c r="H50" s="3" t="str">
        <f>IF(Tabela1[[#This Row],[Total]]&gt;1000,"Alto",IF(Tabela1[[#This Row],[Total]]&gt;=500,"Médio","Baixo"))</f>
        <v>Baixo</v>
      </c>
    </row>
    <row r="51" spans="1:8" x14ac:dyDescent="0.25">
      <c r="A51" s="5">
        <v>46074</v>
      </c>
      <c r="B51" s="3" t="s">
        <v>36</v>
      </c>
      <c r="C51" s="3" t="s">
        <v>7</v>
      </c>
      <c r="D51" s="3">
        <v>1</v>
      </c>
      <c r="E51" s="4">
        <v>480</v>
      </c>
      <c r="F51" s="3" t="s">
        <v>8</v>
      </c>
      <c r="G51" s="4">
        <f>Tabela1[[#This Row],[Qtd]]*Tabela1[[#This Row],[Preco_Unit]]</f>
        <v>480</v>
      </c>
      <c r="H51" s="3" t="str">
        <f>IF(Tabela1[[#This Row],[Total]]&gt;1000,"Alto",IF(Tabela1[[#This Row],[Total]]&gt;=500,"Médio","Baixo"))</f>
        <v>Baixo</v>
      </c>
    </row>
    <row r="52" spans="1:8" x14ac:dyDescent="0.25">
      <c r="A52" s="5">
        <v>46075</v>
      </c>
      <c r="B52" s="3" t="s">
        <v>38</v>
      </c>
      <c r="C52" s="3" t="s">
        <v>10</v>
      </c>
      <c r="D52" s="3">
        <v>2</v>
      </c>
      <c r="E52" s="4">
        <v>130</v>
      </c>
      <c r="F52" s="3" t="s">
        <v>11</v>
      </c>
      <c r="G52" s="4">
        <f>Tabela1[[#This Row],[Qtd]]*Tabela1[[#This Row],[Preco_Unit]]</f>
        <v>260</v>
      </c>
      <c r="H52" s="3" t="str">
        <f>IF(Tabela1[[#This Row],[Total]]&gt;1000,"Alto",IF(Tabela1[[#This Row],[Total]]&gt;=500,"Médio","Baixo"))</f>
        <v>Baixo</v>
      </c>
    </row>
    <row r="53" spans="1:8" x14ac:dyDescent="0.25">
      <c r="A53" s="5">
        <v>46076</v>
      </c>
      <c r="B53" s="3" t="s">
        <v>20</v>
      </c>
      <c r="C53" s="3" t="s">
        <v>13</v>
      </c>
      <c r="D53" s="3">
        <v>2</v>
      </c>
      <c r="E53" s="4">
        <v>280</v>
      </c>
      <c r="F53" s="3" t="s">
        <v>14</v>
      </c>
      <c r="G53" s="4">
        <f>Tabela1[[#This Row],[Qtd]]*Tabela1[[#This Row],[Preco_Unit]]</f>
        <v>560</v>
      </c>
      <c r="H53" s="3" t="str">
        <f>IF(Tabela1[[#This Row],[Total]]&gt;1000,"Alto",IF(Tabela1[[#This Row],[Total]]&gt;=500,"Médio","Baixo"))</f>
        <v>Médio</v>
      </c>
    </row>
    <row r="54" spans="1:8" x14ac:dyDescent="0.25">
      <c r="A54" s="5">
        <v>46077</v>
      </c>
      <c r="B54" s="3" t="s">
        <v>15</v>
      </c>
      <c r="C54" s="3" t="s">
        <v>10</v>
      </c>
      <c r="D54" s="3">
        <v>2</v>
      </c>
      <c r="E54" s="4">
        <v>950</v>
      </c>
      <c r="F54" s="3" t="s">
        <v>8</v>
      </c>
      <c r="G54" s="4">
        <f>Tabela1[[#This Row],[Qtd]]*Tabela1[[#This Row],[Preco_Unit]]</f>
        <v>1900</v>
      </c>
      <c r="H54" s="3" t="str">
        <f>IF(Tabela1[[#This Row],[Total]]&gt;1000,"Alto",IF(Tabela1[[#This Row],[Total]]&gt;=500,"Médio","Baixo"))</f>
        <v>Alto</v>
      </c>
    </row>
    <row r="55" spans="1:8" x14ac:dyDescent="0.25">
      <c r="A55" s="5">
        <v>46078</v>
      </c>
      <c r="B55" s="3" t="s">
        <v>30</v>
      </c>
      <c r="C55" s="3" t="s">
        <v>13</v>
      </c>
      <c r="D55" s="3">
        <v>1</v>
      </c>
      <c r="E55" s="4">
        <v>380</v>
      </c>
      <c r="F55" s="3" t="s">
        <v>11</v>
      </c>
      <c r="G55" s="4">
        <f>Tabela1[[#This Row],[Qtd]]*Tabela1[[#This Row],[Preco_Unit]]</f>
        <v>380</v>
      </c>
      <c r="H55" s="3" t="str">
        <f>IF(Tabela1[[#This Row],[Total]]&gt;1000,"Alto",IF(Tabela1[[#This Row],[Total]]&gt;=500,"Médio","Baixo"))</f>
        <v>Baixo</v>
      </c>
    </row>
  </sheetData>
  <mergeCells count="2">
    <mergeCell ref="A1:B2"/>
    <mergeCell ref="C1:H2"/>
  </mergeCells>
  <pageMargins left="0.511811024" right="0.511811024" top="0.78740157499999996" bottom="0.78740157499999996" header="0.31496062000000002" footer="0.31496062000000002"/>
  <pageSetup paperSize="0" orientation="portrait" horizontalDpi="0" verticalDpi="0" copies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Aluno</dc:creator>
  <cp:lastModifiedBy>Aluno</cp:lastModifiedBy>
  <dcterms:created xsi:type="dcterms:W3CDTF">2026-09-24T22:45:30Z</dcterms:created>
  <dcterms:modified xsi:type="dcterms:W3CDTF">2026-09-24T23:22:09Z</dcterms:modified>
</cp:coreProperties>
</file>